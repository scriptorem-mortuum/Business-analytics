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2360" tabRatio="500" firstSheet="23" activeTab="29"/>
  </bookViews>
  <sheets>
    <sheet name="ДАТА" sheetId="1" r:id="rId1"/>
    <sheet name="ДЕНЬ МЕСЯЦ ГОД" sheetId="2" r:id="rId2"/>
    <sheet name="СЕГОДНЯ" sheetId="3" r:id="rId3"/>
    <sheet name="ДАТАМЕС" sheetId="4" r:id="rId4"/>
    <sheet name="ОКРУГЛы" sheetId="5" r:id="rId5"/>
    <sheet name="СУММ" sheetId="6" r:id="rId6"/>
    <sheet name="СРЗНАЧ" sheetId="7" r:id="rId7"/>
    <sheet name="ЕСЛИ" sheetId="8" r:id="rId8"/>
    <sheet name="И ИЛИ" sheetId="9" r:id="rId9"/>
    <sheet name="СЧЁТЕСЛИ" sheetId="10" r:id="rId10"/>
    <sheet name="СУММЕСЛИ" sheetId="11" r:id="rId11"/>
    <sheet name="СРЗНАЧЕСЛИ" sheetId="12" r:id="rId12"/>
    <sheet name="МИН МАКС" sheetId="13" r:id="rId13"/>
    <sheet name="СЖПРОБЕЛЫ" sheetId="14" r:id="rId14"/>
    <sheet name="ПОИСК НАЙТИ" sheetId="15" r:id="rId15"/>
    <sheet name="ПОДСТАВИТЬ" sheetId="16" r:id="rId16"/>
    <sheet name="ЗАМЕНИТЬ" sheetId="17" r:id="rId17"/>
    <sheet name="ЛЕВСИМВ ПРАВСИМВ" sheetId="18" r:id="rId18"/>
    <sheet name="ДЛСТР" sheetId="19" r:id="rId19"/>
    <sheet name="СЦЕПИТЬ" sheetId="20" r:id="rId20"/>
    <sheet name="СТРОЧН ПРОПНАЧ ПРОПИСН" sheetId="21" r:id="rId21"/>
    <sheet name="СЧЁТ СЧЁТЗ" sheetId="22" r:id="rId22"/>
    <sheet name="СЧИТАТЬПУСТОТЫ" sheetId="23" r:id="rId23"/>
    <sheet name="ЕПУСТО ЕТЕКСТ ЕЧИСЛО" sheetId="24" r:id="rId24"/>
    <sheet name="НАИБОЛЬШИЙ НАИМЕНЬШИЙ" sheetId="25" r:id="rId25"/>
    <sheet name="ВПР" sheetId="26" r:id="rId26"/>
    <sheet name="ЕСЛИОШИБКА" sheetId="27" r:id="rId27"/>
    <sheet name="ПОИСКПОЗ" sheetId="28" r:id="rId28"/>
    <sheet name="ИНДЕКС" sheetId="29" r:id="rId29"/>
    <sheet name="РАНГ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<sst xmlns="http://schemas.openxmlformats.org/spreadsheetml/2006/main" count="573" uniqueCount="405">
  <si>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</si>
  <si>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</si>
  <si>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</si>
  <si>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</si>
  <si>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</si>
  <si>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</si>
  <si>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</si>
  <si>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</si>
  <si>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</si>
  <si>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</si>
  <si>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</si>
  <si>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</si>
  <si>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</si>
  <si>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</si>
  <si>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</si>
  <si>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</si>
  <si>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</si>
  <si>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</si>
  <si>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</si>
  <si>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</si>
  <si>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</si>
  <si>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</si>
  <si>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</si>
  <si>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</si>
  <si>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</si>
  <si>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</si>
  <si>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</si>
  <si>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</si>
  <si>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</si>
  <si>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</si>
  <si>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</si>
  <si>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</si>
  <si>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</si>
  <si>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</si>
  <si>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</si>
  <si>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</si>
  <si>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</si>
  <si>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</si>
  <si>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</si>
  <si>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</si>
  <si>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</si>
  <si>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</si>
  <si>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</si>
  <si>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</si>
  <si>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</si>
  <si>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</si>
  <si>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</si>
  <si>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</si>
  <si>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</si>
  <si>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</si>
  <si>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</si>
  <si>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</si>
  <si>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</si>
  <si>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</si>
  <si>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</si>
  <si>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</si>
  <si>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</si>
  <si>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</si>
  <si>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</si>
  <si>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</si>
  <si>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</si>
  <si>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</si>
  <si>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</si>
  <si>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</si>
  <si>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</si>
  <si>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</si>
  <si>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</si>
  <si>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</si>
  <si>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</si>
  <si>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</si>
  <si>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</si>
  <si>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</si>
  <si>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</si>
  <si>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</si>
  <si>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</si>
  <si>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</si>
  <si>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</si>
  <si>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</si>
  <si>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</si>
  <si>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</si>
  <si>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</si>
  <si>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</si>
  <si>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</si>
  <si>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</si>
  <si>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</si>
  <si>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</si>
  <si>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</si>
  <si>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</si>
  <si>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</si>
  <si>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</si>
  <si>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</si>
  <si>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</si>
  <si>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</si>
  <si>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</si>
  <si>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</si>
  <si>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</si>
  <si>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</si>
  <si>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</si>
  <si>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</si>
  <si>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</si>
  <si>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</si>
  <si>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</si>
  <si>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</si>
  <si>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</si>
  <si>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</si>
  <si>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</si>
  <si>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</si>
  <si>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</si>
  <si>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</si>
  <si>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</si>
  <si>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</si>
  <si>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</si>
  <si>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</si>
  <si>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</si>
  <si>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</si>
  <si>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</si>
  <si>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</si>
  <si>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</si>
  <si>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</si>
  <si>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</si>
  <si>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</si>
  <si>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</si>
  <si>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</si>
  <si>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</si>
  <si>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</si>
  <si>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</si>
  <si>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</si>
  <si>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</si>
  <si>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</si>
  <si>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</si>
  <si>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</si>
  <si>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</si>
  <si>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</si>
  <si>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</si>
  <si>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</si>
  <si>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</si>
  <si>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</si>
  <si>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</si>
  <si>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</si>
  <si>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</si>
  <si>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</si>
  <si>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</si>
  <si>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</si>
  <si>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</si>
  <si>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</si>
  <si>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</si>
  <si>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</si>
  <si>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</si>
  <si>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</si>
  <si>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</si>
  <si>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</si>
  <si>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</si>
  <si>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</si>
  <si>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</si>
  <si>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</si>
  <si>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</si>
  <si>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</si>
  <si>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</si>
  <si>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</si>
  <si>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</si>
  <si>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</si>
  <si>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</si>
  <si>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</si>
  <si>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</si>
  <si>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</si>
  <si>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</si>
  <si>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</si>
  <si>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</si>
  <si>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</si>
  <si>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</si>
  <si>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</si>
  <si>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</si>
  <si>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</si>
  <si>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</si>
  <si>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</si>
  <si>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</si>
  <si>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</si>
  <si>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</si>
  <si>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</si>
  <si>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</si>
  <si>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</si>
  <si>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</si>
  <si>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</si>
  <si>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</si>
  <si>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</si>
  <si>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</si>
  <si>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</si>
  <si>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</si>
  <si>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</si>
  <si>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</si>
  <si>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</si>
  <si>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</si>
  <si>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</si>
  <si>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</si>
  <si>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</si>
  <si>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</si>
  <si>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rFont val="Calibri"/>
        <charset val="134"/>
      </rPr>
      <t>С</t>
    </r>
    <r>
      <rPr>
        <sz val="11"/>
        <color rgb="FF000000"/>
        <rFont val="Calibri"/>
        <charset val="134"/>
      </rPr>
      <t>уббота</t>
    </r>
  </si>
  <si>
    <t>// результат - номер символа</t>
  </si>
  <si>
    <t>б</t>
  </si>
  <si>
    <r>
      <rPr>
        <sz val="11"/>
        <color rgb="FF000000"/>
        <rFont val="Calibri"/>
        <charset val="134"/>
      </rPr>
      <t>Су</t>
    </r>
    <r>
      <rPr>
        <b/>
        <sz val="11"/>
        <color rgb="FF000000"/>
        <rFont val="Calibri"/>
        <charset val="134"/>
      </rPr>
      <t>б</t>
    </r>
    <r>
      <rPr>
        <sz val="11"/>
        <color rgb="FF000000"/>
        <rFont val="Calibri"/>
        <charset val="134"/>
      </rPr>
      <t>бота</t>
    </r>
  </si>
  <si>
    <t>// выдает 1ое вхождение</t>
  </si>
  <si>
    <t>та</t>
  </si>
  <si>
    <r>
      <rPr>
        <sz val="11"/>
        <color rgb="FF000000"/>
        <rFont val="Calibri"/>
        <charset val="134"/>
      </rPr>
      <t>Суббо</t>
    </r>
    <r>
      <rPr>
        <b/>
        <sz val="11"/>
        <color rgb="FF000000"/>
        <rFont val="Calibri"/>
        <charset val="134"/>
      </rPr>
      <t>та</t>
    </r>
  </si>
  <si>
    <t>// по нескольким символам</t>
  </si>
  <si>
    <t>т</t>
  </si>
  <si>
    <r>
      <rPr>
        <b/>
        <sz val="11"/>
        <rFont val="Calibri"/>
        <charset val="134"/>
      </rPr>
      <t>Т</t>
    </r>
    <r>
      <rPr>
        <sz val="11"/>
        <color rgb="FF000000"/>
        <rFont val="Calibri"/>
        <charset val="134"/>
      </rPr>
      <t xml:space="preserve">ерпенье и </t>
    </r>
    <r>
      <rPr>
        <b/>
        <sz val="11"/>
        <color rgb="FF000000"/>
        <rFont val="Calibri"/>
        <charset val="134"/>
      </rPr>
      <t>т</t>
    </r>
    <r>
      <rPr>
        <sz val="11"/>
        <color rgb="FF000000"/>
        <rFont val="Calibri"/>
        <charset val="134"/>
      </rPr>
      <t>руд все перетрут</t>
    </r>
  </si>
  <si>
    <t>// чувствительность к регистру</t>
  </si>
  <si>
    <t>Т</t>
  </si>
  <si>
    <r>
      <rPr>
        <b/>
        <sz val="11"/>
        <color rgb="FF000000"/>
        <rFont val="Calibri"/>
        <charset val="134"/>
      </rPr>
      <t>Т</t>
    </r>
    <r>
      <rPr>
        <sz val="11"/>
        <color rgb="FF000000"/>
        <rFont val="Calibri"/>
        <charset val="134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</si>
  <si>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</si>
  <si>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</si>
  <si>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</si>
  <si>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rgb="FF000000"/>
        <rFont val="Calibri"/>
        <charset val="134"/>
      </rPr>
      <t>Тер</t>
    </r>
    <r>
      <rPr>
        <sz val="11"/>
        <color rgb="FF000000"/>
        <rFont val="Calibri"/>
        <charset val="134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</si>
  <si>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</si>
  <si>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</si>
  <si>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</si>
  <si>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rPr>
        <sz val="11"/>
        <color rgb="FF000000"/>
        <rFont val="Calibri"/>
        <charset val="134"/>
      </rPr>
      <t>Статус</t>
    </r>
    <r>
      <rPr>
        <b/>
        <sz val="11"/>
        <color rgb="FF000000"/>
        <rFont val="Calibri"/>
        <charset val="134"/>
      </rPr>
      <t>:</t>
    </r>
    <r>
      <rPr>
        <sz val="11"/>
        <color rgb="FF000000"/>
        <rFont val="Calibri"/>
        <charset val="134"/>
      </rPr>
      <t xml:space="preserve"> готово</t>
    </r>
  </si>
  <si>
    <t>// знаки препинания считаются</t>
  </si>
  <si>
    <t>-</t>
  </si>
  <si>
    <r>
      <rPr>
        <sz val="11"/>
        <color rgb="FF000000"/>
        <rFont val="Calibri"/>
        <charset val="134"/>
      </rPr>
      <t>909</t>
    </r>
    <r>
      <rPr>
        <b/>
        <sz val="11"/>
        <color rgb="FF000000"/>
        <rFont val="Calibri"/>
        <charset val="134"/>
      </rPr>
      <t>-</t>
    </r>
    <r>
      <rPr>
        <sz val="11"/>
        <color rgb="FF000000"/>
        <rFont val="Calibri"/>
        <charset val="134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</si>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</sst>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#,##0.0"/>
    <numFmt numFmtId="179" formatCode="dd\.mm\.yyyy"/>
    <numFmt numFmtId="180" formatCode="0.0"/>
    <numFmt numFmtId="181" formatCode="#,##0&quot; ₽&quot;"/>
    <numFmt numFmtId="182" formatCode="dd/mm/yy\ h:mm;@"/>
    <numFmt numFmtId="183" formatCode="#,##0.00&quot; ₽&quot;"/>
    <numFmt numFmtId="184" formatCode="0.00000000000000000000"/>
    <numFmt numFmtId="185" formatCode="0.0000000"/>
    <numFmt numFmtId="186" formatCode="0.000"/>
    <numFmt numFmtId="187" formatCode="dd/mm/yy\ hh:mm"/>
    <numFmt numFmtId="188" formatCode="dd/mm/yy;@"/>
  </numFmts>
  <fonts count="35">
    <font>
      <sz val="11"/>
      <color rgb="FF000000"/>
      <name val="Calibri"/>
      <charset val="134"/>
    </font>
    <font>
      <u/>
      <sz val="11"/>
      <color rgb="FF0000FF"/>
      <name val="Calibri"/>
      <charset val="204"/>
    </font>
    <font>
      <b/>
      <sz val="16"/>
      <color rgb="FF000000"/>
      <name val="Calibri"/>
      <charset val="134"/>
    </font>
    <font>
      <b/>
      <sz val="12"/>
      <color rgb="FF000000"/>
      <name val="Calibri"/>
      <charset val="134"/>
    </font>
    <font>
      <b/>
      <sz val="12"/>
      <color rgb="FFFF6E40"/>
      <name val="Calibri"/>
      <charset val="134"/>
    </font>
    <font>
      <sz val="11"/>
      <color rgb="FF808080"/>
      <name val="Calibri"/>
      <charset val="204"/>
    </font>
    <font>
      <b/>
      <sz val="11"/>
      <color rgb="FFFF6E40"/>
      <name val="Calibri"/>
      <charset val="134"/>
    </font>
    <font>
      <sz val="12"/>
      <color rgb="FF000000"/>
      <name val="Calibri"/>
      <charset val="204"/>
    </font>
    <font>
      <sz val="12"/>
      <color rgb="FFFF6E40"/>
      <name val="Calibri"/>
      <charset val="20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204"/>
    </font>
    <font>
      <sz val="9"/>
      <color rgb="FF000000"/>
      <name val="Calibri"/>
      <charset val="204"/>
    </font>
    <font>
      <sz val="10"/>
      <color rgb="FF000000"/>
      <name val="Arial Narrow"/>
      <charset val="204"/>
    </font>
    <font>
      <sz val="14"/>
      <color rgb="FF000000"/>
      <name val="Arial Black"/>
      <charset val="204"/>
    </font>
    <font>
      <sz val="10"/>
      <name val="Arial"/>
      <charset val="20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5896"/>
        <bgColor rgb="FFFF6E40"/>
      </patternFill>
    </fill>
    <fill>
      <patternFill patternType="solid">
        <fgColor rgb="FFFDEADA"/>
        <bgColor rgb="FFF2DCDB"/>
      </patternFill>
    </fill>
    <fill>
      <patternFill patternType="solid">
        <fgColor rgb="FFFF6E40"/>
        <bgColor rgb="FFE25896"/>
      </patternFill>
    </fill>
    <fill>
      <patternFill patternType="solid">
        <fgColor rgb="FFF2DCDB"/>
        <bgColor rgb="FFFDEA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5" fillId="0" borderId="0" applyBorder="0" applyAlignment="0" applyProtection="0"/>
    <xf numFmtId="176" fontId="15" fillId="0" borderId="0" applyBorder="0" applyAlignment="0" applyProtection="0"/>
    <xf numFmtId="9" fontId="0" fillId="0" borderId="0" applyBorder="0" applyProtection="0"/>
    <xf numFmtId="41" fontId="15" fillId="0" borderId="0" applyBorder="0" applyAlignment="0" applyProtection="0"/>
    <xf numFmtId="177" fontId="15" fillId="0" borderId="0" applyBorder="0" applyAlignment="0" applyProtection="0"/>
    <xf numFmtId="0" fontId="1" fillId="0" borderId="0" applyBorder="0" applyProtection="0"/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" fillId="0" borderId="0" applyBorder="0" applyProtection="0"/>
    <xf numFmtId="0" fontId="11" fillId="0" borderId="0"/>
    <xf numFmtId="0" fontId="11" fillId="0" borderId="0"/>
  </cellStyleXfs>
  <cellXfs count="99">
    <xf numFmtId="0" fontId="0" fillId="0" borderId="0" xfId="0"/>
    <xf numFmtId="0" fontId="0" fillId="0" borderId="0" xfId="0" applyAlignment="1" applyProtection="1"/>
    <xf numFmtId="0" fontId="1" fillId="0" borderId="0" xfId="6" applyFont="1" applyBorder="1" applyAlignment="1" applyProtection="1"/>
    <xf numFmtId="0" fontId="2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0" borderId="0" xfId="0" applyFont="1" applyAlignment="1" applyProtection="1"/>
    <xf numFmtId="0" fontId="0" fillId="0" borderId="1" xfId="0" applyBorder="1" applyAlignment="1" applyProtection="1"/>
    <xf numFmtId="178" fontId="0" fillId="0" borderId="1" xfId="0" applyNumberFormat="1" applyBorder="1" applyAlignment="1" applyProtection="1"/>
    <xf numFmtId="3" fontId="0" fillId="3" borderId="1" xfId="0" applyNumberFormat="1" applyFill="1" applyBorder="1" applyAlignment="1"/>
    <xf numFmtId="0" fontId="5" fillId="0" borderId="0" xfId="0" applyFont="1" applyAlignment="1" applyProtection="1"/>
    <xf numFmtId="0" fontId="0" fillId="0" borderId="1" xfId="0" applyFont="1" applyBorder="1" applyAlignment="1" applyProtection="1"/>
    <xf numFmtId="179" fontId="0" fillId="0" borderId="0" xfId="0" applyNumberFormat="1" applyAlignment="1" applyProtection="1"/>
    <xf numFmtId="0" fontId="6" fillId="0" borderId="0" xfId="0" applyFont="1" applyAlignment="1" applyProtection="1">
      <alignment horizontal="center"/>
    </xf>
    <xf numFmtId="3" fontId="0" fillId="0" borderId="1" xfId="0" applyNumberFormat="1" applyFont="1" applyBorder="1" applyAlignment="1" applyProtection="1"/>
    <xf numFmtId="180" fontId="7" fillId="3" borderId="0" xfId="0" applyNumberFormat="1" applyFont="1" applyFill="1" applyAlignment="1" applyProtection="1"/>
    <xf numFmtId="0" fontId="3" fillId="4" borderId="1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181" fontId="0" fillId="0" borderId="1" xfId="0" applyNumberFormat="1" applyBorder="1" applyAlignment="1" applyProtection="1"/>
    <xf numFmtId="0" fontId="5" fillId="0" borderId="0" xfId="0" applyFont="1" applyAlignment="1" applyProtection="1">
      <alignment horizontal="left" indent="2"/>
    </xf>
    <xf numFmtId="3" fontId="0" fillId="3" borderId="1" xfId="0" applyNumberFormat="1" applyFill="1" applyBorder="1" applyAlignment="1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vertical="center"/>
    </xf>
    <xf numFmtId="0" fontId="3" fillId="2" borderId="0" xfId="0" applyFont="1" applyFill="1" applyAlignment="1" applyProtection="1">
      <alignment horizontal="center" vertical="center"/>
    </xf>
    <xf numFmtId="181" fontId="0" fillId="3" borderId="1" xfId="0" applyNumberFormat="1" applyFill="1" applyBorder="1" applyAlignment="1"/>
    <xf numFmtId="181" fontId="0" fillId="0" borderId="0" xfId="0" applyNumberFormat="1" applyAlignment="1" applyProtection="1"/>
    <xf numFmtId="0" fontId="3" fillId="2" borderId="2" xfId="0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/>
    <xf numFmtId="3" fontId="0" fillId="5" borderId="1" xfId="0" applyNumberFormat="1" applyFill="1" applyBorder="1" applyAlignment="1" applyProtection="1"/>
    <xf numFmtId="0" fontId="2" fillId="0" borderId="0" xfId="0" applyFont="1" applyAlignment="1" applyProtection="1">
      <alignment horizontal="left"/>
    </xf>
    <xf numFmtId="0" fontId="3" fillId="4" borderId="3" xfId="0" applyFont="1" applyFill="1" applyBorder="1" applyAlignment="1" applyProtection="1">
      <alignment horizontal="center" vertical="center" wrapText="1"/>
    </xf>
    <xf numFmtId="0" fontId="0" fillId="3" borderId="1" xfId="0" applyFill="1" applyBorder="1" applyAlignment="1"/>
    <xf numFmtId="0" fontId="8" fillId="0" borderId="0" xfId="0" applyFont="1" applyAlignment="1" applyProtection="1"/>
    <xf numFmtId="9" fontId="0" fillId="0" borderId="1" xfId="3" applyFont="1" applyBorder="1" applyAlignment="1" applyProtection="1"/>
    <xf numFmtId="179" fontId="0" fillId="0" borderId="1" xfId="0" applyNumberFormat="1" applyBorder="1" applyAlignment="1" applyProtection="1"/>
    <xf numFmtId="182" fontId="0" fillId="0" borderId="1" xfId="0" applyNumberFormat="1" applyFont="1" applyBorder="1" applyAlignment="1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right"/>
    </xf>
    <xf numFmtId="35" fontId="0" fillId="0" borderId="1" xfId="0" applyNumberFormat="1" applyBorder="1" applyAlignment="1" applyProtection="1"/>
    <xf numFmtId="0" fontId="3" fillId="4" borderId="3" xfId="0" applyFont="1" applyFill="1" applyBorder="1" applyAlignment="1">
      <alignment horizontal="center" vertical="center" wrapText="1"/>
    </xf>
    <xf numFmtId="9" fontId="0" fillId="0" borderId="1" xfId="0" applyNumberFormat="1" applyBorder="1" applyAlignment="1" applyProtection="1"/>
    <xf numFmtId="0" fontId="9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0" fillId="3" borderId="1" xfId="0" applyFill="1" applyBorder="1" applyAlignment="1" applyProtection="1"/>
    <xf numFmtId="1" fontId="0" fillId="0" borderId="1" xfId="0" applyNumberFormat="1" applyBorder="1" applyAlignment="1" applyProtection="1"/>
    <xf numFmtId="2" fontId="0" fillId="3" borderId="1" xfId="0" applyNumberFormat="1" applyFill="1" applyBorder="1" applyAlignment="1"/>
    <xf numFmtId="183" fontId="0" fillId="0" borderId="1" xfId="0" applyNumberFormat="1" applyBorder="1" applyAlignment="1" applyProtection="1"/>
    <xf numFmtId="2" fontId="0" fillId="0" borderId="1" xfId="0" applyNumberFormat="1" applyBorder="1" applyAlignment="1" applyProtection="1"/>
    <xf numFmtId="0" fontId="0" fillId="0" borderId="0" xfId="0" applyAlignment="1"/>
    <xf numFmtId="0" fontId="5" fillId="0" borderId="0" xfId="0" applyFont="1" applyAlignment="1"/>
    <xf numFmtId="0" fontId="3" fillId="2" borderId="0" xfId="0" applyFont="1" applyFill="1" applyAlignment="1">
      <alignment horizontal="center" vertical="center"/>
    </xf>
    <xf numFmtId="184" fontId="0" fillId="0" borderId="0" xfId="0" applyNumberFormat="1" applyAlignment="1" applyProtection="1"/>
    <xf numFmtId="185" fontId="0" fillId="0" borderId="1" xfId="0" applyNumberFormat="1" applyBorder="1" applyAlignment="1" applyProtection="1"/>
    <xf numFmtId="0" fontId="5" fillId="0" borderId="1" xfId="0" applyFont="1" applyBorder="1" applyAlignment="1" applyProtection="1"/>
    <xf numFmtId="0" fontId="0" fillId="0" borderId="0" xfId="0" applyFont="1" applyAlignment="1" applyProtection="1"/>
    <xf numFmtId="181" fontId="10" fillId="0" borderId="1" xfId="0" applyNumberFormat="1" applyFont="1" applyBorder="1" applyAlignment="1" applyProtection="1"/>
    <xf numFmtId="0" fontId="0" fillId="5" borderId="1" xfId="0" applyFont="1" applyFill="1" applyBorder="1" applyAlignment="1"/>
    <xf numFmtId="181" fontId="9" fillId="0" borderId="1" xfId="0" applyNumberFormat="1" applyFont="1" applyBorder="1" applyAlignment="1" applyProtection="1"/>
    <xf numFmtId="0" fontId="3" fillId="4" borderId="1" xfId="0" applyFont="1" applyFill="1" applyBorder="1" applyAlignment="1" applyProtection="1">
      <alignment horizontal="left" vertical="center"/>
    </xf>
    <xf numFmtId="1" fontId="0" fillId="5" borderId="1" xfId="0" applyNumberFormat="1" applyFont="1" applyFill="1" applyBorder="1" applyAlignment="1" applyProtection="1"/>
    <xf numFmtId="0" fontId="0" fillId="0" borderId="1" xfId="0" applyBorder="1" applyAlignment="1"/>
    <xf numFmtId="179" fontId="0" fillId="3" borderId="1" xfId="0" applyNumberFormat="1" applyFill="1" applyBorder="1" applyAlignment="1" applyProtection="1"/>
    <xf numFmtId="0" fontId="11" fillId="0" borderId="0" xfId="51" applyFont="1" applyAlignment="1" applyProtection="1"/>
    <xf numFmtId="0" fontId="1" fillId="0" borderId="0" xfId="49" applyFont="1" applyBorder="1" applyAlignment="1" applyProtection="1"/>
    <xf numFmtId="0" fontId="2" fillId="0" borderId="0" xfId="51" applyFont="1" applyAlignment="1" applyProtection="1"/>
    <xf numFmtId="0" fontId="2" fillId="0" borderId="0" xfId="51" applyFont="1" applyAlignment="1" applyProtection="1">
      <alignment horizontal="center"/>
    </xf>
    <xf numFmtId="0" fontId="2" fillId="0" borderId="0" xfId="51" applyFont="1" applyAlignment="1" applyProtection="1">
      <alignment horizontal="right"/>
    </xf>
    <xf numFmtId="0" fontId="5" fillId="0" borderId="0" xfId="51" applyFont="1" applyAlignment="1" applyProtection="1"/>
    <xf numFmtId="0" fontId="3" fillId="2" borderId="1" xfId="51" applyFont="1" applyFill="1" applyBorder="1" applyAlignment="1" applyProtection="1">
      <alignment horizontal="center" vertical="center"/>
    </xf>
    <xf numFmtId="0" fontId="3" fillId="2" borderId="4" xfId="51" applyFont="1" applyFill="1" applyBorder="1" applyAlignment="1" applyProtection="1">
      <alignment horizontal="center" vertical="center"/>
    </xf>
    <xf numFmtId="0" fontId="11" fillId="0" borderId="1" xfId="51" applyFont="1" applyBorder="1" applyAlignment="1" applyProtection="1"/>
    <xf numFmtId="2" fontId="11" fillId="3" borderId="1" xfId="0" applyNumberFormat="1" applyFont="1" applyFill="1" applyBorder="1" applyAlignment="1"/>
    <xf numFmtId="1" fontId="11" fillId="0" borderId="1" xfId="51" applyNumberFormat="1" applyFont="1" applyBorder="1" applyAlignment="1" applyProtection="1"/>
    <xf numFmtId="179" fontId="12" fillId="0" borderId="1" xfId="51" applyNumberFormat="1" applyFont="1" applyBorder="1" applyAlignment="1" applyProtection="1"/>
    <xf numFmtId="20" fontId="11" fillId="0" borderId="1" xfId="51" applyNumberFormat="1" applyFont="1" applyBorder="1" applyAlignment="1" applyProtection="1"/>
    <xf numFmtId="0" fontId="11" fillId="0" borderId="0" xfId="50" applyFont="1" applyAlignment="1" applyProtection="1"/>
    <xf numFmtId="0" fontId="2" fillId="0" borderId="0" xfId="50" applyFont="1" applyAlignment="1" applyProtection="1"/>
    <xf numFmtId="0" fontId="2" fillId="0" borderId="0" xfId="50" applyFont="1" applyAlignment="1" applyProtection="1">
      <alignment horizontal="left"/>
    </xf>
    <xf numFmtId="0" fontId="11" fillId="0" borderId="0" xfId="50" applyFont="1" applyAlignment="1" applyProtection="1">
      <alignment horizontal="left"/>
    </xf>
    <xf numFmtId="0" fontId="2" fillId="0" borderId="0" xfId="50" applyFont="1" applyAlignment="1" applyProtection="1">
      <alignment horizontal="right"/>
    </xf>
    <xf numFmtId="0" fontId="5" fillId="0" borderId="0" xfId="50" applyFont="1" applyAlignment="1" applyProtection="1"/>
    <xf numFmtId="0" fontId="3" fillId="2" borderId="1" xfId="50" applyFont="1" applyFill="1" applyBorder="1" applyAlignment="1" applyProtection="1">
      <alignment horizontal="center" vertical="center"/>
    </xf>
    <xf numFmtId="0" fontId="3" fillId="2" borderId="4" xfId="50" applyFont="1" applyFill="1" applyBorder="1" applyAlignment="1" applyProtection="1">
      <alignment horizontal="center" vertical="center"/>
    </xf>
    <xf numFmtId="0" fontId="11" fillId="0" borderId="1" xfId="50" applyFont="1" applyBorder="1" applyAlignment="1" applyProtection="1"/>
    <xf numFmtId="1" fontId="11" fillId="0" borderId="1" xfId="50" applyNumberFormat="1" applyFont="1" applyBorder="1" applyAlignment="1" applyProtection="1"/>
    <xf numFmtId="0" fontId="11" fillId="3" borderId="1" xfId="0" applyFont="1" applyFill="1" applyBorder="1" applyAlignment="1"/>
    <xf numFmtId="180" fontId="11" fillId="0" borderId="1" xfId="50" applyNumberFormat="1" applyFont="1" applyBorder="1" applyAlignment="1" applyProtection="1"/>
    <xf numFmtId="179" fontId="12" fillId="0" borderId="1" xfId="50" applyNumberFormat="1" applyFont="1" applyBorder="1" applyAlignment="1" applyProtection="1"/>
    <xf numFmtId="20" fontId="11" fillId="0" borderId="1" xfId="50" applyNumberFormat="1" applyFont="1" applyBorder="1" applyAlignment="1" applyProtection="1"/>
    <xf numFmtId="0" fontId="2" fillId="0" borderId="0" xfId="0" applyFont="1" applyAlignment="1" applyProtection="1">
      <alignment horizontal="left" indent="1"/>
    </xf>
    <xf numFmtId="186" fontId="0" fillId="0" borderId="1" xfId="0" applyNumberFormat="1" applyBorder="1" applyAlignment="1" applyProtection="1"/>
    <xf numFmtId="22" fontId="0" fillId="0" borderId="0" xfId="0" applyNumberFormat="1" applyFont="1" applyAlignment="1" applyProtection="1"/>
    <xf numFmtId="179" fontId="11" fillId="3" borderId="1" xfId="0" applyNumberFormat="1" applyFont="1" applyFill="1" applyBorder="1" applyAlignment="1" applyProtection="1"/>
    <xf numFmtId="182" fontId="11" fillId="3" borderId="1" xfId="0" applyNumberFormat="1" applyFont="1" applyFill="1" applyBorder="1" applyAlignment="1" applyProtection="1"/>
    <xf numFmtId="187" fontId="11" fillId="3" borderId="1" xfId="0" applyNumberFormat="1" applyFont="1" applyFill="1" applyBorder="1" applyAlignment="1" applyProtection="1"/>
    <xf numFmtId="188" fontId="0" fillId="0" borderId="0" xfId="0" applyNumberFormat="1" applyAlignment="1" applyProtection="1"/>
    <xf numFmtId="0" fontId="13" fillId="0" borderId="0" xfId="0" applyFont="1" applyAlignment="1" applyProtection="1">
      <alignment horizontal="center" vertical="center"/>
    </xf>
    <xf numFmtId="0" fontId="14" fillId="0" borderId="0" xfId="0" applyFont="1" applyAlignment="1" applyProtection="1"/>
    <xf numFmtId="0" fontId="3" fillId="2" borderId="1" xfId="0" applyFont="1" applyFill="1" applyBorder="1" applyAlignment="1" applyProtection="1">
      <alignment horizont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Гиперссылка 2" xfId="49"/>
    <cellStyle name="Обычный 2" xfId="50"/>
    <cellStyle name="Обычный 3" xfId="51"/>
  </cellStyles>
  <dxfs count="18">
    <dxf>
      <fill>
        <patternFill patternType="solid">
          <bgColor rgb="FFF2DCD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DEADA"/>
      <rgbColor rgb="00CCFFFF"/>
      <rgbColor rgb="00660066"/>
      <rgbColor rgb="00E2589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2DCDB"/>
      <rgbColor rgb="003366FF"/>
      <rgbColor rgb="0033CCCC"/>
      <rgbColor rgb="0099CC00"/>
      <rgbColor rgb="00FFCC00"/>
      <rgbColor rgb="00FF9900"/>
      <rgbColor rgb="00FF6E4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2</xdr:row>
      <xdr:rowOff>168120</xdr:rowOff>
    </xdr:from>
    <xdr:to>
      <xdr:col>3</xdr:col>
      <xdr:colOff>571320</xdr:colOff>
      <xdr:row>9</xdr:row>
      <xdr:rowOff>167400</xdr:rowOff>
    </xdr:to>
    <xdr:sp>
      <xdr:nvSpPr>
        <xdr:cNvPr id="2" name="Прямоугольник: скругленные углы 1"/>
        <xdr:cNvSpPr/>
      </xdr:nvSpPr>
      <xdr:spPr>
        <a:xfrm>
          <a:off x="0" y="617220"/>
          <a:ext cx="2445385" cy="1294765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функции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ДАТА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соберите год, месяц и день в цельную дату.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24120</xdr:colOff>
      <xdr:row>0</xdr:row>
      <xdr:rowOff>2160</xdr:rowOff>
    </xdr:from>
    <xdr:to>
      <xdr:col>0</xdr:col>
      <xdr:colOff>543240</xdr:colOff>
      <xdr:row>0</xdr:row>
      <xdr:rowOff>180360</xdr:rowOff>
    </xdr:to>
    <xdr:sp>
      <xdr:nvSpPr>
        <xdr:cNvPr id="3" name="Скругленный прямоугольник 4"/>
        <xdr:cNvSpPr/>
      </xdr:nvSpPr>
      <xdr:spPr>
        <a:xfrm>
          <a:off x="23495" y="1905"/>
          <a:ext cx="519430" cy="178435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0</xdr:colOff>
      <xdr:row>6</xdr:row>
      <xdr:rowOff>180360</xdr:rowOff>
    </xdr:to>
    <xdr:sp>
      <xdr:nvSpPr>
        <xdr:cNvPr id="2" name="Прямоугольник: скругленные углы 1"/>
        <xdr:cNvSpPr/>
      </xdr:nvSpPr>
      <xdr:spPr>
        <a:xfrm>
          <a:off x="5179060" y="632460"/>
          <a:ext cx="3239770" cy="74422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Из даты в столбце </a:t>
          </a:r>
          <a:r>
            <a:rPr lang="en-US" sz="1100" b="1" strike="noStrike" spc="-1">
              <a:solidFill>
                <a:srgbClr val="000000"/>
              </a:solidFill>
              <a:latin typeface="Calibri" panose="020F0502020204030204"/>
            </a:rPr>
            <a:t>B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выделите день, месяц и год.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26640</xdr:colOff>
      <xdr:row>0</xdr:row>
      <xdr:rowOff>6480</xdr:rowOff>
    </xdr:from>
    <xdr:to>
      <xdr:col>0</xdr:col>
      <xdr:colOff>545760</xdr:colOff>
      <xdr:row>1</xdr:row>
      <xdr:rowOff>1440</xdr:rowOff>
    </xdr:to>
    <xdr:sp>
      <xdr:nvSpPr>
        <xdr:cNvPr id="3" name="Скругленный прямоугольник 3"/>
        <xdr:cNvSpPr/>
      </xdr:nvSpPr>
      <xdr:spPr>
        <a:xfrm>
          <a:off x="26035" y="6350"/>
          <a:ext cx="519430" cy="17780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4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5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6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7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8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43200</xdr:rowOff>
    </xdr:to>
    <xdr:sp>
      <xdr:nvSpPr>
        <xdr:cNvPr id="9" name="Прямоугольник: скругленные углы 2"/>
        <xdr:cNvSpPr/>
      </xdr:nvSpPr>
      <xdr:spPr>
        <a:xfrm>
          <a:off x="4413250" y="632460"/>
          <a:ext cx="3239770" cy="170434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формул поставьте в столбце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Премия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-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Да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- напротив сотрудников, совершивших продаж на 90 000 руб. и более;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-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Нет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- если условие не выполнено.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A6A6A6"/>
              </a:solidFill>
              <a:latin typeface="Calibri" panose="020F0502020204030204"/>
            </a:rPr>
            <a:t>Ответ: премию получают 6 человек.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10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256680</xdr:colOff>
      <xdr:row>4</xdr:row>
      <xdr:rowOff>1080</xdr:rowOff>
    </xdr:from>
    <xdr:to>
      <xdr:col>11</xdr:col>
      <xdr:colOff>25560</xdr:colOff>
      <xdr:row>7</xdr:row>
      <xdr:rowOff>27000</xdr:rowOff>
    </xdr:to>
    <xdr:sp>
      <xdr:nvSpPr>
        <xdr:cNvPr id="11" name="TextBox 1"/>
        <xdr:cNvSpPr/>
      </xdr:nvSpPr>
      <xdr:spPr>
        <a:xfrm>
          <a:off x="4728210" y="831215"/>
          <a:ext cx="3162300" cy="574675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ru-RU" sz="1400" b="1" strike="noStrike" spc="-1">
              <a:solidFill>
                <a:srgbClr val="808080"/>
              </a:solidFill>
              <a:latin typeface="Calibri" panose="020F0502020204030204"/>
            </a:rPr>
            <a:t>И</a:t>
          </a:r>
          <a:r>
            <a:rPr lang="ru-RU" sz="1400" b="0" strike="noStrike" spc="-1">
              <a:solidFill>
                <a:srgbClr val="808080"/>
              </a:solidFill>
              <a:latin typeface="Calibri" panose="020F0502020204030204"/>
            </a:rPr>
            <a:t> : проверка "Кол-во"</a:t>
          </a:r>
          <a:endParaRPr lang="ru-RU" sz="1400" b="0" strike="noStrike" spc="-1">
            <a:latin typeface="Times New Roman" panose="02020603050405020304" pitchFamily="12"/>
          </a:endParaRPr>
        </a:p>
        <a:p>
          <a:pPr algn="ctr">
            <a:lnSpc>
              <a:spcPct val="100000"/>
            </a:lnSpc>
          </a:pPr>
          <a:r>
            <a:rPr lang="ru-RU" sz="1400" b="0" strike="noStrike" spc="-1">
              <a:solidFill>
                <a:srgbClr val="808080"/>
              </a:solidFill>
              <a:latin typeface="Calibri" panose="020F0502020204030204"/>
            </a:rPr>
            <a:t>больше 100 И меньше 130</a:t>
          </a:r>
          <a:endParaRPr lang="ru-RU" sz="14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6</xdr:col>
      <xdr:colOff>317520</xdr:colOff>
      <xdr:row>9</xdr:row>
      <xdr:rowOff>7560</xdr:rowOff>
    </xdr:from>
    <xdr:to>
      <xdr:col>10</xdr:col>
      <xdr:colOff>573840</xdr:colOff>
      <xdr:row>12</xdr:row>
      <xdr:rowOff>29880</xdr:rowOff>
    </xdr:to>
    <xdr:sp>
      <xdr:nvSpPr>
        <xdr:cNvPr id="12" name="TextBox 2"/>
        <xdr:cNvSpPr/>
      </xdr:nvSpPr>
      <xdr:spPr>
        <a:xfrm>
          <a:off x="4789170" y="1751965"/>
          <a:ext cx="3032125" cy="57150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 algn="ctr">
            <a:lnSpc>
              <a:spcPct val="100000"/>
            </a:lnSpc>
          </a:pPr>
          <a:r>
            <a:rPr lang="ru-RU" sz="1400" b="1" strike="noStrike" spc="-1">
              <a:solidFill>
                <a:srgbClr val="808080"/>
              </a:solidFill>
              <a:latin typeface="Calibri" panose="020F0502020204030204"/>
            </a:rPr>
            <a:t>ИЛИ</a:t>
          </a:r>
          <a:r>
            <a:rPr lang="ru-RU" sz="1400" b="0" strike="noStrike" spc="-1">
              <a:solidFill>
                <a:srgbClr val="808080"/>
              </a:solidFill>
              <a:latin typeface="Calibri" panose="020F0502020204030204"/>
            </a:rPr>
            <a:t> : проверка "Цвет"</a:t>
          </a:r>
          <a:endParaRPr lang="ru-RU" sz="1400" b="0" strike="noStrike" spc="-1">
            <a:latin typeface="Times New Roman" panose="02020603050405020304" pitchFamily="12"/>
          </a:endParaRPr>
        </a:p>
        <a:p>
          <a:pPr algn="ctr">
            <a:lnSpc>
              <a:spcPct val="100000"/>
            </a:lnSpc>
          </a:pPr>
          <a:r>
            <a:rPr lang="ru-RU" sz="1400" b="0" strike="noStrike" spc="-1">
              <a:solidFill>
                <a:srgbClr val="808080"/>
              </a:solidFill>
              <a:latin typeface="Calibri" panose="020F0502020204030204"/>
            </a:rPr>
            <a:t>является "Красным" ИЛИ "Синим"</a:t>
          </a:r>
          <a:endParaRPr lang="ru-RU" sz="14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13" name="Скругленный прямоугольник 3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183960</xdr:rowOff>
    </xdr:to>
    <xdr:sp>
      <xdr:nvSpPr>
        <xdr:cNvPr id="14" name="Прямоугольник: скругленные углы 1"/>
        <xdr:cNvSpPr/>
      </xdr:nvSpPr>
      <xdr:spPr>
        <a:xfrm>
          <a:off x="4999990" y="1562100"/>
          <a:ext cx="3299460" cy="1463675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функции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СЧЁТЕСЛИ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посчитайте количество ресторанов, соответствующих  условиям в столбце </a:t>
          </a:r>
          <a:r>
            <a:rPr lang="en-US" sz="1100" b="1" strike="noStrike" spc="-1">
              <a:solidFill>
                <a:srgbClr val="000000"/>
              </a:solidFill>
              <a:latin typeface="Calibri" panose="020F0502020204030204"/>
            </a:rPr>
            <a:t>G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.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A6A6A6"/>
              </a:solidFill>
              <a:latin typeface="Calibri" panose="020F0502020204030204"/>
            </a:rPr>
            <a:t>Ответ: 6; 4; 3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15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525960</xdr:colOff>
      <xdr:row>13</xdr:row>
      <xdr:rowOff>0</xdr:rowOff>
    </xdr:from>
    <xdr:to>
      <xdr:col>2</xdr:col>
      <xdr:colOff>357480</xdr:colOff>
      <xdr:row>15</xdr:row>
      <xdr:rowOff>45000</xdr:rowOff>
    </xdr:to>
    <xdr:grpSp>
      <xdr:nvGrpSpPr>
        <xdr:cNvPr id="16" name="Группа 1"/>
        <xdr:cNvGrpSpPr/>
      </xdr:nvGrpSpPr>
      <xdr:grpSpPr>
        <a:xfrm>
          <a:off x="525780" y="2476500"/>
          <a:ext cx="1598295" cy="410210"/>
          <a:chOff x="525960" y="2448000"/>
          <a:chExt cx="1647720" cy="406800"/>
        </a:xfrm>
      </xdr:grpSpPr>
      <xdr:sp>
        <xdr:nvSpPr>
          <xdr:cNvPr id="17" name="TextBox 2"/>
          <xdr:cNvSpPr/>
        </xdr:nvSpPr>
        <xdr:spPr>
          <a:xfrm>
            <a:off x="525960" y="2448000"/>
            <a:ext cx="644400" cy="28692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strike="noStrike" spc="-1">
                <a:solidFill>
                  <a:srgbClr val="FF6E40"/>
                </a:solidFill>
                <a:latin typeface="Calibri" panose="020F0502020204030204"/>
              </a:rPr>
              <a:t>1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sp>
        <xdr:nvSpPr>
          <xdr:cNvPr id="18" name="TextBox 3"/>
          <xdr:cNvSpPr/>
        </xdr:nvSpPr>
        <xdr:spPr>
          <a:xfrm>
            <a:off x="754920" y="2448000"/>
            <a:ext cx="1418760" cy="40680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Диапазон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</xdr:grpSp>
    <xdr:clientData/>
  </xdr:twoCellAnchor>
  <xdr:twoCellAnchor>
    <xdr:from>
      <xdr:col>3</xdr:col>
      <xdr:colOff>7560</xdr:colOff>
      <xdr:row>13</xdr:row>
      <xdr:rowOff>0</xdr:rowOff>
    </xdr:from>
    <xdr:to>
      <xdr:col>4</xdr:col>
      <xdr:colOff>387720</xdr:colOff>
      <xdr:row>16</xdr:row>
      <xdr:rowOff>113760</xdr:rowOff>
    </xdr:to>
    <xdr:grpSp>
      <xdr:nvGrpSpPr>
        <xdr:cNvPr id="19" name="Группа 4"/>
        <xdr:cNvGrpSpPr/>
      </xdr:nvGrpSpPr>
      <xdr:grpSpPr>
        <a:xfrm>
          <a:off x="2909570" y="2476500"/>
          <a:ext cx="1569085" cy="662305"/>
          <a:chOff x="2990880" y="2448000"/>
          <a:chExt cx="1601640" cy="656640"/>
        </a:xfrm>
      </xdr:grpSpPr>
      <xdr:sp>
        <xdr:nvSpPr>
          <xdr:cNvPr id="20" name="TextBox 5"/>
          <xdr:cNvSpPr/>
        </xdr:nvSpPr>
        <xdr:spPr>
          <a:xfrm>
            <a:off x="2990880" y="2470680"/>
            <a:ext cx="640440" cy="28692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strike="noStrike" spc="-1">
                <a:solidFill>
                  <a:srgbClr val="FF6E40"/>
                </a:solidFill>
                <a:latin typeface="Calibri" panose="020F0502020204030204"/>
              </a:rPr>
              <a:t>3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sp>
        <xdr:nvSpPr>
          <xdr:cNvPr id="21" name="TextBox 6"/>
          <xdr:cNvSpPr/>
        </xdr:nvSpPr>
        <xdr:spPr>
          <a:xfrm>
            <a:off x="3184920" y="2448000"/>
            <a:ext cx="1407600" cy="65664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Диапазон суммирования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</xdr:grpSp>
    <xdr:clientData/>
  </xdr:twoCellAnchor>
  <xdr:twoCellAnchor>
    <xdr:from>
      <xdr:col>5</xdr:col>
      <xdr:colOff>495360</xdr:colOff>
      <xdr:row>5</xdr:row>
      <xdr:rowOff>0</xdr:rowOff>
    </xdr:from>
    <xdr:to>
      <xdr:col>8</xdr:col>
      <xdr:colOff>14400</xdr:colOff>
      <xdr:row>8</xdr:row>
      <xdr:rowOff>128880</xdr:rowOff>
    </xdr:to>
    <xdr:grpSp>
      <xdr:nvGrpSpPr>
        <xdr:cNvPr id="22" name="Группа 7"/>
        <xdr:cNvGrpSpPr/>
      </xdr:nvGrpSpPr>
      <xdr:grpSpPr>
        <a:xfrm>
          <a:off x="5142865" y="1013460"/>
          <a:ext cx="1882140" cy="676910"/>
          <a:chOff x="5271840" y="1000080"/>
          <a:chExt cx="1947960" cy="671760"/>
        </a:xfrm>
      </xdr:grpSpPr>
      <xdr:sp>
        <xdr:nvSpPr>
          <xdr:cNvPr id="23" name="TextBox 8"/>
          <xdr:cNvSpPr/>
        </xdr:nvSpPr>
        <xdr:spPr>
          <a:xfrm>
            <a:off x="5271840" y="1000080"/>
            <a:ext cx="684000" cy="28692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strike="noStrike" spc="-1">
                <a:solidFill>
                  <a:srgbClr val="FF6E40"/>
                </a:solidFill>
                <a:latin typeface="Calibri" panose="020F0502020204030204"/>
              </a:rPr>
              <a:t>2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sp>
        <xdr:nvSpPr>
          <xdr:cNvPr id="24" name="TextBox 9"/>
          <xdr:cNvSpPr/>
        </xdr:nvSpPr>
        <xdr:spPr>
          <a:xfrm>
            <a:off x="5514840" y="1015200"/>
            <a:ext cx="1704960" cy="65664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Критерий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</xdr:grpSp>
    <xdr:clientData/>
  </xdr:twoCellAnchor>
  <xdr:twoCellAnchor>
    <xdr:from>
      <xdr:col>5</xdr:col>
      <xdr:colOff>404640</xdr:colOff>
      <xdr:row>8</xdr:row>
      <xdr:rowOff>66600</xdr:rowOff>
    </xdr:from>
    <xdr:to>
      <xdr:col>11</xdr:col>
      <xdr:colOff>419040</xdr:colOff>
      <xdr:row>16</xdr:row>
      <xdr:rowOff>45000</xdr:rowOff>
    </xdr:to>
    <xdr:sp>
      <xdr:nvSpPr>
        <xdr:cNvPr id="25" name="TextBox 10"/>
        <xdr:cNvSpPr/>
      </xdr:nvSpPr>
      <xdr:spPr>
        <a:xfrm>
          <a:off x="5052060" y="1628140"/>
          <a:ext cx="4229100" cy="1441450"/>
        </a:xfrm>
        <a:prstGeom prst="rect">
          <a:avLst/>
        </a:prstGeom>
        <a:noFill/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Сумма всех заказов из "Москвы" - 33 000.</a:t>
          </a:r>
          <a:endParaRPr lang="ru-RU" sz="14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1. Диапазон = </a:t>
          </a:r>
          <a:r>
            <a:rPr lang="en-US" sz="1400" b="0" i="1" strike="noStrike" spc="-1">
              <a:solidFill>
                <a:srgbClr val="808080"/>
              </a:solidFill>
              <a:latin typeface="Calibri" panose="020F0502020204030204"/>
            </a:rPr>
            <a:t>B:B</a:t>
          </a:r>
          <a:endParaRPr lang="ru-RU" sz="14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2. Критерий = </a:t>
          </a:r>
          <a:r>
            <a:rPr lang="en-US" sz="1400" b="0" i="1" strike="noStrike" spc="-1">
              <a:solidFill>
                <a:srgbClr val="808080"/>
              </a:solidFill>
              <a:latin typeface="Calibri" panose="020F0502020204030204"/>
            </a:rPr>
            <a:t>G5</a:t>
          </a:r>
          <a:endParaRPr lang="ru-RU" sz="14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3. Диапазон суммирования = </a:t>
          </a:r>
          <a:r>
            <a:rPr lang="en-US" sz="1400" b="0" i="1" strike="noStrike" spc="-1">
              <a:solidFill>
                <a:srgbClr val="808080"/>
              </a:solidFill>
              <a:latin typeface="Calibri" panose="020F0502020204030204"/>
            </a:rPr>
            <a:t>D:D</a:t>
          </a:r>
          <a:endParaRPr lang="ru-RU" sz="14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26" name="Скругленный прямоугольник 1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27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18360</xdr:colOff>
      <xdr:row>9</xdr:row>
      <xdr:rowOff>155520</xdr:rowOff>
    </xdr:to>
    <xdr:sp>
      <xdr:nvSpPr>
        <xdr:cNvPr id="28" name="Прямоугольник: скругленные углы 1"/>
        <xdr:cNvSpPr/>
      </xdr:nvSpPr>
      <xdr:spPr>
        <a:xfrm>
          <a:off x="4414520" y="632460"/>
          <a:ext cx="3103880" cy="129794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функций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МИН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и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МАКС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вычислите минимальный и максимальный балл из списка. 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29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0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1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2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336600</xdr:colOff>
      <xdr:row>10</xdr:row>
      <xdr:rowOff>23040</xdr:rowOff>
    </xdr:to>
    <xdr:sp>
      <xdr:nvSpPr>
        <xdr:cNvPr id="33" name="Прямоугольник: скругленные углы 1"/>
        <xdr:cNvSpPr/>
      </xdr:nvSpPr>
      <xdr:spPr>
        <a:xfrm>
          <a:off x="4549140" y="632460"/>
          <a:ext cx="3112770" cy="131826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ЗАМЕНИТЬ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.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4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5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6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7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8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39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40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41" name="Скругленный прямоугольник 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3240</xdr:colOff>
      <xdr:row>9</xdr:row>
      <xdr:rowOff>155520</xdr:rowOff>
    </xdr:to>
    <xdr:sp>
      <xdr:nvSpPr>
        <xdr:cNvPr id="42" name="Прямоугольник: скругленные углы 1"/>
        <xdr:cNvSpPr/>
      </xdr:nvSpPr>
      <xdr:spPr>
        <a:xfrm>
          <a:off x="4833620" y="632460"/>
          <a:ext cx="3112135" cy="130556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функций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НАИБОЛЬШИЙ 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и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НАИМЕНЬШИЙ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 составьте рейтинг 3х самых высоких и самых низких баллов.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43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462240</xdr:colOff>
      <xdr:row>15</xdr:row>
      <xdr:rowOff>24840</xdr:rowOff>
    </xdr:from>
    <xdr:to>
      <xdr:col>5</xdr:col>
      <xdr:colOff>232920</xdr:colOff>
      <xdr:row>20</xdr:row>
      <xdr:rowOff>54360</xdr:rowOff>
    </xdr:to>
    <xdr:grpSp>
      <xdr:nvGrpSpPr>
        <xdr:cNvPr id="44" name="Группа 1"/>
        <xdr:cNvGrpSpPr/>
      </xdr:nvGrpSpPr>
      <xdr:grpSpPr>
        <a:xfrm>
          <a:off x="461645" y="2867025"/>
          <a:ext cx="4959350" cy="943610"/>
          <a:chOff x="462240" y="2834640"/>
          <a:chExt cx="5104080" cy="934560"/>
        </a:xfrm>
      </xdr:grpSpPr>
      <xdr:sp>
        <xdr:nvSpPr>
          <xdr:cNvPr id="45" name="TextBox 2"/>
          <xdr:cNvSpPr/>
        </xdr:nvSpPr>
        <xdr:spPr>
          <a:xfrm>
            <a:off x="462240" y="2841840"/>
            <a:ext cx="1625040" cy="92736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Поиск искомого значения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sp>
        <xdr:nvSpPr>
          <xdr:cNvPr id="46" name="TextBox 3"/>
          <xdr:cNvSpPr/>
        </xdr:nvSpPr>
        <xdr:spPr>
          <a:xfrm>
            <a:off x="4123080" y="2834640"/>
            <a:ext cx="1443240" cy="68616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Столбец результатов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cxnSp>
        <xdr:nvCxnSpPr>
          <xdr:cNvPr id="47" name="Прямая со стрелкой 4"/>
          <xdr:cNvCxnSpPr/>
        </xdr:nvCxnSpPr>
        <xdr:spPr>
          <a:xfrm>
            <a:off x="2148480" y="3090600"/>
            <a:ext cx="1687320" cy="720"/>
          </a:xfrm>
          <a:prstGeom prst="straightConnector1">
            <a:avLst/>
          </a:prstGeom>
          <a:ln w="0">
            <a:solidFill>
              <a:srgbClr val="FF6E40"/>
            </a:solidFill>
            <a:tailEnd type="triangle" w="med" len="med"/>
          </a:ln>
        </xdr:spPr>
      </xdr:cxnSp>
    </xdr:grpSp>
    <xdr:clientData/>
  </xdr:twoCellAnchor>
  <xdr:twoCellAnchor>
    <xdr:from>
      <xdr:col>6</xdr:col>
      <xdr:colOff>78120</xdr:colOff>
      <xdr:row>5</xdr:row>
      <xdr:rowOff>63000</xdr:rowOff>
    </xdr:from>
    <xdr:to>
      <xdr:col>7</xdr:col>
      <xdr:colOff>229680</xdr:colOff>
      <xdr:row>10</xdr:row>
      <xdr:rowOff>181080</xdr:rowOff>
    </xdr:to>
    <xdr:grpSp>
      <xdr:nvGrpSpPr>
        <xdr:cNvPr id="48" name="Группа 5"/>
        <xdr:cNvGrpSpPr/>
      </xdr:nvGrpSpPr>
      <xdr:grpSpPr>
        <a:xfrm>
          <a:off x="5883910" y="1076325"/>
          <a:ext cx="1264920" cy="1032510"/>
          <a:chOff x="6045840" y="1063080"/>
          <a:chExt cx="1296000" cy="1023120"/>
        </a:xfrm>
      </xdr:grpSpPr>
      <xdr:sp>
        <xdr:nvSpPr>
          <xdr:cNvPr id="49" name="TextBox 6"/>
          <xdr:cNvSpPr/>
        </xdr:nvSpPr>
        <xdr:spPr>
          <a:xfrm>
            <a:off x="6045840" y="1402200"/>
            <a:ext cx="1296000" cy="68400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Искомое значение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cxnSp>
        <xdr:nvCxnSpPr>
          <xdr:cNvPr id="50" name="Прямая со стрелкой 7"/>
          <xdr:cNvCxnSpPr/>
        </xdr:nvCxnSpPr>
        <xdr:spPr>
          <a:xfrm flipV="1">
            <a:off x="6568920" y="1063080"/>
            <a:ext cx="720" cy="332280"/>
          </a:xfrm>
          <a:prstGeom prst="straightConnector1">
            <a:avLst/>
          </a:prstGeom>
          <a:ln w="0">
            <a:solidFill>
              <a:srgbClr val="FF6E40"/>
            </a:solidFill>
            <a:tailEnd type="triangle" w="med" len="med"/>
          </a:ln>
        </xdr:spPr>
      </xdr:cxnSp>
    </xdr:grpSp>
    <xdr:clientData/>
  </xdr:twoCellAnchor>
  <xdr:twoCellAnchor>
    <xdr:from>
      <xdr:col>7</xdr:col>
      <xdr:colOff>266760</xdr:colOff>
      <xdr:row>5</xdr:row>
      <xdr:rowOff>74880</xdr:rowOff>
    </xdr:from>
    <xdr:to>
      <xdr:col>8</xdr:col>
      <xdr:colOff>426240</xdr:colOff>
      <xdr:row>11</xdr:row>
      <xdr:rowOff>43920</xdr:rowOff>
    </xdr:to>
    <xdr:grpSp>
      <xdr:nvGrpSpPr>
        <xdr:cNvPr id="51" name="Группа 8"/>
        <xdr:cNvGrpSpPr/>
      </xdr:nvGrpSpPr>
      <xdr:grpSpPr>
        <a:xfrm>
          <a:off x="7186295" y="1087755"/>
          <a:ext cx="1393825" cy="1066800"/>
          <a:chOff x="7378920" y="1074960"/>
          <a:chExt cx="1428120" cy="1054800"/>
        </a:xfrm>
      </xdr:grpSpPr>
      <xdr:sp>
        <xdr:nvSpPr>
          <xdr:cNvPr id="52" name="TextBox 9"/>
          <xdr:cNvSpPr/>
        </xdr:nvSpPr>
        <xdr:spPr>
          <a:xfrm>
            <a:off x="7378920" y="1444320"/>
            <a:ext cx="1428120" cy="685440"/>
          </a:xfrm>
          <a:prstGeom prst="rect">
            <a:avLst/>
          </a:prstGeom>
          <a:solidFill>
            <a:srgbClr val="FFFFFF"/>
          </a:solidFill>
          <a:ln w="9525">
            <a:noFill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p>
            <a:pPr>
              <a:lnSpc>
                <a:spcPct val="100000"/>
              </a:lnSpc>
            </a:pPr>
            <a:r>
              <a:rPr lang="ru-RU" sz="1400" b="0" i="1" strike="noStrike" spc="-1">
                <a:solidFill>
                  <a:srgbClr val="808080"/>
                </a:solidFill>
                <a:latin typeface="Calibri" panose="020F0502020204030204"/>
              </a:rPr>
              <a:t>Результат</a:t>
            </a:r>
            <a:endParaRPr lang="ru-RU" sz="1400" b="0" strike="noStrike" spc="-1">
              <a:latin typeface="Times New Roman" panose="02020603050405020304" pitchFamily="12"/>
            </a:endParaRPr>
          </a:p>
        </xdr:txBody>
      </xdr:sp>
      <xdr:cxnSp>
        <xdr:nvCxnSpPr>
          <xdr:cNvPr id="53" name="Прямая со стрелкой 10"/>
          <xdr:cNvCxnSpPr/>
        </xdr:nvCxnSpPr>
        <xdr:spPr>
          <a:xfrm flipV="1">
            <a:off x="7882920" y="1074960"/>
            <a:ext cx="720" cy="332280"/>
          </a:xfrm>
          <a:prstGeom prst="straightConnector1">
            <a:avLst/>
          </a:prstGeom>
          <a:ln w="0">
            <a:solidFill>
              <a:srgbClr val="FF6E40"/>
            </a:solidFill>
            <a:tailEnd type="triangle" w="med" len="med"/>
          </a:ln>
        </xdr:spPr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54" name="Скругленный прямоугольник 11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35640</xdr:colOff>
      <xdr:row>10</xdr:row>
      <xdr:rowOff>23040</xdr:rowOff>
    </xdr:to>
    <xdr:sp>
      <xdr:nvSpPr>
        <xdr:cNvPr id="55" name="Прямоугольник: скругленные углы 1"/>
        <xdr:cNvSpPr/>
      </xdr:nvSpPr>
      <xdr:spPr>
        <a:xfrm>
          <a:off x="6821170" y="632460"/>
          <a:ext cx="3220720" cy="1318260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ЕСЛИОШИБКА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.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56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430560</xdr:colOff>
      <xdr:row>12</xdr:row>
      <xdr:rowOff>11160</xdr:rowOff>
    </xdr:from>
    <xdr:to>
      <xdr:col>4</xdr:col>
      <xdr:colOff>730080</xdr:colOff>
      <xdr:row>14</xdr:row>
      <xdr:rowOff>177840</xdr:rowOff>
    </xdr:to>
    <xdr:sp>
      <xdr:nvSpPr>
        <xdr:cNvPr id="57" name="TextBox 1"/>
        <xdr:cNvSpPr/>
      </xdr:nvSpPr>
      <xdr:spPr>
        <a:xfrm>
          <a:off x="2388870" y="2304415"/>
          <a:ext cx="2066925" cy="532765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Поиск искомого значения</a:t>
          </a:r>
          <a:endParaRPr lang="ru-RU" sz="14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2</xdr:col>
      <xdr:colOff>309240</xdr:colOff>
      <xdr:row>8</xdr:row>
      <xdr:rowOff>99720</xdr:rowOff>
    </xdr:from>
    <xdr:to>
      <xdr:col>3</xdr:col>
      <xdr:colOff>12240</xdr:colOff>
      <xdr:row>8</xdr:row>
      <xdr:rowOff>99720</xdr:rowOff>
    </xdr:to>
    <xdr:cxnSp>
      <xdr:nvCxnSpPr>
        <xdr:cNvPr id="58" name="Прямая со стрелкой 2"/>
        <xdr:cNvCxnSpPr/>
      </xdr:nvCxnSpPr>
      <xdr:spPr>
        <a:xfrm flipH="1">
          <a:off x="2266950" y="1661795"/>
          <a:ext cx="587375" cy="0"/>
        </a:xfrm>
        <a:prstGeom prst="straightConnector1">
          <a:avLst/>
        </a:prstGeom>
        <a:ln w="0">
          <a:solidFill>
            <a:srgbClr val="FF6E40"/>
          </a:solidFill>
          <a:tailEnd type="triangle" w="med" len="med"/>
        </a:ln>
      </xdr:spPr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59" name="Скругленный прямоугольник 3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504720</xdr:colOff>
      <xdr:row>2</xdr:row>
      <xdr:rowOff>4680</xdr:rowOff>
    </xdr:from>
    <xdr:to>
      <xdr:col>8</xdr:col>
      <xdr:colOff>412560</xdr:colOff>
      <xdr:row>5</xdr:row>
      <xdr:rowOff>3600</xdr:rowOff>
    </xdr:to>
    <xdr:sp>
      <xdr:nvSpPr>
        <xdr:cNvPr id="60" name="TextBox 1"/>
        <xdr:cNvSpPr/>
      </xdr:nvSpPr>
      <xdr:spPr>
        <a:xfrm>
          <a:off x="6181090" y="454025"/>
          <a:ext cx="2873375" cy="57785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Высота Шанхайской башни =</a:t>
          </a:r>
          <a:endParaRPr lang="ru-RU" sz="14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400" b="0" i="1" strike="noStrike" spc="-1">
              <a:solidFill>
                <a:srgbClr val="808080"/>
              </a:solidFill>
              <a:latin typeface="Calibri" panose="020F0502020204030204"/>
            </a:rPr>
            <a:t>4 ряд, 2 столбец</a:t>
          </a:r>
          <a:endParaRPr lang="ru-RU" sz="14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4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61" name="Скругленный прямоугольник 2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159840</xdr:colOff>
      <xdr:row>9</xdr:row>
      <xdr:rowOff>161280</xdr:rowOff>
    </xdr:to>
    <xdr:sp>
      <xdr:nvSpPr>
        <xdr:cNvPr id="62" name="Прямоугольник: скругленные углы 1"/>
        <xdr:cNvSpPr/>
      </xdr:nvSpPr>
      <xdr:spPr>
        <a:xfrm>
          <a:off x="6294120" y="632460"/>
          <a:ext cx="3124835" cy="1349375"/>
        </a:xfrm>
        <a:prstGeom prst="roundRect">
          <a:avLst>
            <a:gd name="adj" fmla="val 4637"/>
          </a:avLst>
        </a:prstGeom>
        <a:solidFill>
          <a:srgbClr val="FFFFCC"/>
        </a:solidFill>
        <a:ln w="0">
          <a:solidFill>
            <a:srgbClr val="000000"/>
          </a:solidFill>
        </a:ln>
        <a:effectLst>
          <a:outerShdw blurRad="50760" dist="37674" dir="2700000" algn="tl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ru-RU" sz="1100" b="1" strike="noStrike" spc="-1">
              <a:solidFill>
                <a:srgbClr val="FF0000"/>
              </a:solidFill>
              <a:latin typeface="Calibri" panose="020F0502020204030204"/>
            </a:rPr>
            <a:t>ЗАДАНИЕ:</a:t>
          </a: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ru-RU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С помощью функций </a:t>
          </a:r>
          <a:r>
            <a:rPr lang="ru-RU" sz="1100" b="1" strike="noStrike" spc="-1">
              <a:solidFill>
                <a:srgbClr val="000000"/>
              </a:solidFill>
              <a:latin typeface="Calibri" panose="020F0502020204030204"/>
            </a:rPr>
            <a:t>РАНГ </a:t>
          </a:r>
          <a:r>
            <a:rPr lang="ru-RU" sz="1100" b="0" strike="noStrike" spc="-1">
              <a:solidFill>
                <a:srgbClr val="000000"/>
              </a:solidFill>
              <a:latin typeface="Calibri" panose="020F0502020204030204"/>
            </a:rPr>
            <a:t>присвойте данным башням места по убыванию их высоты. </a:t>
          </a:r>
          <a:endParaRPr lang="ru-RU" sz="1100" b="0" strike="noStrike" spc="-1">
            <a:latin typeface="Times New Roman" panose="02020603050405020304" pitchFamily="12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519120</xdr:colOff>
      <xdr:row>0</xdr:row>
      <xdr:rowOff>180720</xdr:rowOff>
    </xdr:to>
    <xdr:sp>
      <xdr:nvSpPr>
        <xdr:cNvPr id="63" name="Скругленный прямоугольник 3"/>
        <xdr:cNvSpPr/>
      </xdr:nvSpPr>
      <xdr:spPr>
        <a:xfrm>
          <a:off x="0" y="0"/>
          <a:ext cx="518795" cy="180340"/>
        </a:xfrm>
        <a:prstGeom prst="roundRect">
          <a:avLst>
            <a:gd name="adj" fmla="val 16667"/>
          </a:avLst>
        </a:prstGeom>
        <a:blipFill rotWithShape="0">
          <a:blip r:embed="rId1"/>
          <a:srcRect/>
          <a:tile tx="0" ty="0" sx="29960" sy="29887" algn="tl"/>
        </a:blipFill>
        <a:ln w="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zoomScale="170" zoomScaleNormal="170" workbookViewId="0">
      <selection activeCell="B11" sqref="B11"/>
    </sheetView>
  </sheetViews>
  <sheetFormatPr defaultColWidth="9" defaultRowHeight="14.4"/>
  <cols>
    <col min="1" max="1" width="8" style="1" customWidth="1"/>
    <col min="2" max="2" width="10.3333333333333" style="1" customWidth="1"/>
    <col min="9" max="9" width="14" style="1" customWidth="1"/>
    <col min="15" max="15" width="9.11111111111111" style="1" customWidth="1"/>
  </cols>
  <sheetData>
    <row r="1" spans="2:9">
      <c r="B1" s="96" t="s">
        <v>0</v>
      </c>
    </row>
    <row r="2" ht="21" spans="2:9">
      <c r="B2" s="97"/>
      <c r="F2" s="3" t="s">
        <v>1</v>
      </c>
    </row>
    <row r="3" spans="2:9">
      <c r="I3" s="9"/>
    </row>
    <row r="4" ht="15.6" spans="2:9">
      <c r="F4" s="98" t="s">
        <v>2</v>
      </c>
      <c r="G4" s="98" t="s">
        <v>3</v>
      </c>
      <c r="H4" s="98" t="s">
        <v>4</v>
      </c>
      <c r="I4" s="98" t="s">
        <v>5</v>
      </c>
    </row>
    <row r="5" spans="2:9">
      <c r="F5" s="6">
        <v>1999</v>
      </c>
      <c r="G5" s="6">
        <v>1</v>
      </c>
      <c r="H5" s="6">
        <v>1</v>
      </c>
      <c r="I5" s="61">
        <f t="shared" ref="I5:I15" si="0">DATE(F5,G5,H5)</f>
        <v>36161</v>
      </c>
    </row>
    <row r="6" spans="2:9">
      <c r="F6" s="6">
        <v>2000</v>
      </c>
      <c r="G6" s="6">
        <v>1</v>
      </c>
      <c r="H6" s="6">
        <v>1</v>
      </c>
      <c r="I6" s="61">
        <f t="shared" si="0"/>
        <v>36526</v>
      </c>
    </row>
    <row r="7" spans="2:9">
      <c r="F7" s="6">
        <v>2005</v>
      </c>
      <c r="G7" s="6">
        <v>2</v>
      </c>
      <c r="H7" s="6">
        <v>12</v>
      </c>
      <c r="I7" s="61">
        <f t="shared" si="0"/>
        <v>38395</v>
      </c>
    </row>
    <row r="8" spans="2:9">
      <c r="F8" s="6">
        <v>2010</v>
      </c>
      <c r="G8" s="6">
        <v>10</v>
      </c>
      <c r="H8" s="6">
        <v>22</v>
      </c>
      <c r="I8" s="61">
        <f t="shared" si="0"/>
        <v>40473</v>
      </c>
    </row>
    <row r="9" spans="2:9">
      <c r="F9" s="6">
        <v>2018</v>
      </c>
      <c r="G9" s="6">
        <v>6</v>
      </c>
      <c r="H9" s="6">
        <v>18</v>
      </c>
      <c r="I9" s="61">
        <f t="shared" si="0"/>
        <v>43269</v>
      </c>
    </row>
    <row r="10" spans="2:9">
      <c r="F10" s="6">
        <v>2022</v>
      </c>
      <c r="G10" s="6">
        <v>8</v>
      </c>
      <c r="H10" s="6">
        <v>15</v>
      </c>
      <c r="I10" s="61">
        <f t="shared" si="0"/>
        <v>44788</v>
      </c>
    </row>
    <row r="11" spans="2:9">
      <c r="F11" s="6">
        <v>2026</v>
      </c>
      <c r="G11" s="6">
        <v>9</v>
      </c>
      <c r="H11" s="6">
        <v>4</v>
      </c>
      <c r="I11" s="61">
        <f t="shared" si="0"/>
        <v>46269</v>
      </c>
    </row>
    <row r="12" spans="2:9">
      <c r="F12" s="6">
        <v>2030</v>
      </c>
      <c r="G12" s="6">
        <v>12</v>
      </c>
      <c r="H12" s="6">
        <v>30</v>
      </c>
      <c r="I12" s="61">
        <f t="shared" si="0"/>
        <v>47847</v>
      </c>
    </row>
    <row r="13" spans="2:9">
      <c r="F13" s="6">
        <v>2045</v>
      </c>
      <c r="G13" s="6">
        <v>3</v>
      </c>
      <c r="H13" s="6">
        <v>28</v>
      </c>
      <c r="I13" s="61">
        <f t="shared" si="0"/>
        <v>53049</v>
      </c>
    </row>
    <row r="14" spans="2:9">
      <c r="F14" s="6">
        <v>2050</v>
      </c>
      <c r="G14" s="6">
        <v>7</v>
      </c>
      <c r="H14" s="6">
        <v>3</v>
      </c>
      <c r="I14" s="61">
        <f t="shared" si="0"/>
        <v>54972</v>
      </c>
    </row>
    <row r="15" spans="2:9">
      <c r="F15" s="6">
        <v>2099</v>
      </c>
      <c r="G15" s="6">
        <v>11</v>
      </c>
      <c r="H15" s="6">
        <v>10</v>
      </c>
      <c r="I15" s="61">
        <f t="shared" si="0"/>
        <v>72999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zoomScale="115" zoomScaleNormal="115" workbookViewId="0">
      <selection activeCell="F13" sqref="F13"/>
    </sheetView>
  </sheetViews>
  <sheetFormatPr defaultColWidth="9" defaultRowHeight="14.4" outlineLevelCol="7"/>
  <cols>
    <col min="2" max="2" width="14" style="1" customWidth="1"/>
    <col min="3" max="5" width="13.7592592592593" style="1" customWidth="1"/>
    <col min="6" max="6" width="11.2407407407407" style="1" customWidth="1"/>
    <col min="8" max="8" width="11.2407407407407" style="1" customWidth="1"/>
  </cols>
  <sheetData>
    <row r="2" ht="21" spans="2:8">
      <c r="B2" s="3" t="s">
        <v>6</v>
      </c>
      <c r="C2" s="35" t="s">
        <v>7</v>
      </c>
      <c r="D2" s="36" t="s">
        <v>8</v>
      </c>
    </row>
    <row r="3" spans="2:8">
      <c r="C3" s="9"/>
      <c r="D3" s="9"/>
      <c r="E3" s="9"/>
    </row>
    <row r="4" ht="15.6" spans="2:8">
      <c r="B4" s="4" t="s">
        <v>9</v>
      </c>
      <c r="C4" s="4" t="s">
        <v>4</v>
      </c>
      <c r="D4" s="4" t="s">
        <v>3</v>
      </c>
      <c r="E4" s="4" t="s">
        <v>2</v>
      </c>
    </row>
    <row r="5" spans="2:8">
      <c r="B5" s="33">
        <v>27670</v>
      </c>
      <c r="C5" s="43">
        <f t="shared" ref="C5:C14" si="0">DAY(B5)</f>
        <v>3</v>
      </c>
      <c r="D5" s="43">
        <f t="shared" ref="D5:D14" si="1">MONTH(B5)</f>
        <v>10</v>
      </c>
      <c r="E5" s="43">
        <f t="shared" ref="E5:E14" si="2">YEAR(B5)</f>
        <v>1975</v>
      </c>
      <c r="H5" s="11"/>
    </row>
    <row r="6" spans="2:8">
      <c r="B6" s="33">
        <v>33108</v>
      </c>
      <c r="C6" s="43">
        <f t="shared" si="0"/>
        <v>23</v>
      </c>
      <c r="D6" s="43">
        <f t="shared" si="1"/>
        <v>8</v>
      </c>
      <c r="E6" s="43">
        <f t="shared" si="2"/>
        <v>1990</v>
      </c>
      <c r="H6" s="11"/>
    </row>
    <row r="7" spans="2:8">
      <c r="B7" s="33">
        <v>36526</v>
      </c>
      <c r="C7" s="43">
        <f t="shared" si="0"/>
        <v>1</v>
      </c>
      <c r="D7" s="43">
        <f t="shared" si="1"/>
        <v>1</v>
      </c>
      <c r="E7" s="43">
        <f t="shared" si="2"/>
        <v>2000</v>
      </c>
      <c r="H7" s="11"/>
    </row>
    <row r="8" spans="2:8">
      <c r="B8" s="33">
        <v>45285</v>
      </c>
      <c r="C8" s="43">
        <f t="shared" si="0"/>
        <v>25</v>
      </c>
      <c r="D8" s="43">
        <f t="shared" si="1"/>
        <v>12</v>
      </c>
      <c r="E8" s="43">
        <f t="shared" si="2"/>
        <v>2023</v>
      </c>
      <c r="H8" s="11"/>
    </row>
    <row r="9" spans="2:8">
      <c r="B9" s="33">
        <v>45823</v>
      </c>
      <c r="C9" s="43">
        <f t="shared" si="0"/>
        <v>15</v>
      </c>
      <c r="D9" s="43">
        <f t="shared" si="1"/>
        <v>6</v>
      </c>
      <c r="E9" s="43">
        <f t="shared" si="2"/>
        <v>2025</v>
      </c>
      <c r="H9" s="11"/>
    </row>
    <row r="10" spans="2:8">
      <c r="B10" s="33">
        <v>46143</v>
      </c>
      <c r="C10" s="43">
        <f t="shared" si="0"/>
        <v>1</v>
      </c>
      <c r="D10" s="43">
        <f t="shared" si="1"/>
        <v>5</v>
      </c>
      <c r="E10" s="43">
        <f t="shared" si="2"/>
        <v>2026</v>
      </c>
      <c r="H10" s="11"/>
    </row>
    <row r="11" spans="2:8">
      <c r="B11" s="33">
        <v>47027</v>
      </c>
      <c r="C11" s="43">
        <f t="shared" si="0"/>
        <v>1</v>
      </c>
      <c r="D11" s="43">
        <f t="shared" si="1"/>
        <v>10</v>
      </c>
      <c r="E11" s="43">
        <f t="shared" si="2"/>
        <v>2028</v>
      </c>
      <c r="H11" s="11"/>
    </row>
    <row r="12" spans="2:8">
      <c r="B12" s="33">
        <v>45657</v>
      </c>
      <c r="C12" s="43">
        <f t="shared" si="0"/>
        <v>31</v>
      </c>
      <c r="D12" s="43">
        <f t="shared" si="1"/>
        <v>12</v>
      </c>
      <c r="E12" s="43">
        <f t="shared" si="2"/>
        <v>2024</v>
      </c>
      <c r="H12" s="11"/>
    </row>
    <row r="13" spans="2:8">
      <c r="B13" s="33">
        <v>45350</v>
      </c>
      <c r="C13" s="43">
        <f t="shared" si="0"/>
        <v>28</v>
      </c>
      <c r="D13" s="43">
        <f t="shared" si="1"/>
        <v>2</v>
      </c>
      <c r="E13" s="43">
        <f t="shared" si="2"/>
        <v>2024</v>
      </c>
      <c r="H13" s="11"/>
    </row>
    <row r="14" spans="2:8">
      <c r="B14" s="33">
        <v>47738</v>
      </c>
      <c r="C14" s="43">
        <f t="shared" si="0"/>
        <v>12</v>
      </c>
      <c r="D14" s="43">
        <f t="shared" si="1"/>
        <v>9</v>
      </c>
      <c r="E14" s="43">
        <f t="shared" si="2"/>
        <v>2030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workbookViewId="0">
      <selection activeCell="C24" sqref="C24"/>
    </sheetView>
  </sheetViews>
  <sheetFormatPr defaultColWidth="9" defaultRowHeight="14.4" outlineLevelCol="7"/>
  <cols>
    <col min="2" max="2" width="15.6018518518519" style="1" customWidth="1"/>
    <col min="3" max="3" width="34.1111111111111" style="1" customWidth="1"/>
    <col min="6" max="6" width="11.2407407407407" style="1" customWidth="1"/>
    <col min="8" max="8" width="11.2407407407407" style="1" customWidth="1"/>
  </cols>
  <sheetData>
    <row r="2" ht="21" spans="2:8">
      <c r="B2" s="3" t="s">
        <v>10</v>
      </c>
    </row>
    <row r="4" ht="15.6" spans="2:8">
      <c r="B4" s="4" t="s">
        <v>9</v>
      </c>
      <c r="C4" s="4" t="s">
        <v>11</v>
      </c>
    </row>
    <row r="5" spans="2:8">
      <c r="B5" s="61">
        <f ca="1">TODAY()</f>
        <v>46276</v>
      </c>
      <c r="C5" s="33" t="s">
        <v>12</v>
      </c>
      <c r="D5" s="9" t="s">
        <v>13</v>
      </c>
      <c r="H5" s="11"/>
    </row>
    <row r="6" spans="2:8">
      <c r="B6" s="61">
        <f ca="1">TODAY()-7</f>
        <v>46269</v>
      </c>
      <c r="C6" s="33" t="s">
        <v>14</v>
      </c>
      <c r="D6" s="9" t="s">
        <v>15</v>
      </c>
      <c r="H6" s="11"/>
    </row>
    <row r="7" spans="2:8">
      <c r="B7" s="61">
        <f ca="1">TODAY()+7</f>
        <v>46283</v>
      </c>
      <c r="C7" s="33" t="s">
        <v>16</v>
      </c>
      <c r="D7" s="9" t="s">
        <v>17</v>
      </c>
      <c r="H7" s="11"/>
    </row>
    <row r="8" spans="2:8">
      <c r="B8" s="61">
        <f ca="1">TODAY()+90</f>
        <v>46366</v>
      </c>
      <c r="C8" s="33" t="s">
        <v>18</v>
      </c>
      <c r="D8" s="9" t="s">
        <v>19</v>
      </c>
      <c r="H8" s="11"/>
    </row>
    <row r="9" spans="2:8">
      <c r="B9" s="92">
        <f ca="1">EDATE(TODAY(),3)</f>
        <v>46367</v>
      </c>
      <c r="C9" s="33" t="s">
        <v>20</v>
      </c>
      <c r="D9" s="9" t="s">
        <v>21</v>
      </c>
      <c r="H9" s="11"/>
    </row>
    <row r="10" spans="2:8">
      <c r="B10" s="61">
        <f ca="1">EDATE(TODAY(),12)</f>
        <v>46641</v>
      </c>
      <c r="C10" s="33" t="s">
        <v>22</v>
      </c>
      <c r="D10" s="9" t="s">
        <v>23</v>
      </c>
      <c r="H10" s="11"/>
    </row>
    <row r="11" spans="2:8">
      <c r="B11" s="92">
        <f ca="1">EDATE(TODAY(),-12)</f>
        <v>45911</v>
      </c>
      <c r="C11" s="33" t="s">
        <v>24</v>
      </c>
      <c r="D11" s="9" t="s">
        <v>25</v>
      </c>
      <c r="H11" s="11"/>
    </row>
    <row r="12" spans="2:8">
      <c r="B12" s="92">
        <f ca="1">EOMONTH(TODAY(),0)</f>
        <v>46295</v>
      </c>
      <c r="C12" s="33" t="s">
        <v>26</v>
      </c>
      <c r="D12" s="9" t="s">
        <v>27</v>
      </c>
      <c r="H12" s="11"/>
    </row>
    <row r="13" spans="2:8">
      <c r="B13" s="92">
        <f ca="1">EOMONTH(TODAY(),-1)+1</f>
        <v>46266</v>
      </c>
      <c r="C13" s="33" t="s">
        <v>28</v>
      </c>
      <c r="D13" s="9" t="s">
        <v>29</v>
      </c>
      <c r="H13" s="11"/>
    </row>
    <row r="14" spans="2:8">
      <c r="B14" s="93">
        <f ca="1">TODAY()+TIME(18,0,0)</f>
        <v>46276.75</v>
      </c>
      <c r="C14" s="34" t="s">
        <v>30</v>
      </c>
      <c r="D14" s="9" t="s">
        <v>31</v>
      </c>
    </row>
    <row r="15" spans="2:8">
      <c r="B15" s="93">
        <f ca="1">TODAY()+1+TIME(12,0,0)</f>
        <v>46277.5</v>
      </c>
      <c r="C15" s="34" t="s">
        <v>32</v>
      </c>
      <c r="D15" s="9" t="s">
        <v>33</v>
      </c>
    </row>
    <row r="19" ht="21" spans="2:4">
      <c r="B19" s="3" t="s">
        <v>34</v>
      </c>
    </row>
    <row r="20" ht="15.6" spans="2:4">
      <c r="B20" s="4" t="s">
        <v>35</v>
      </c>
      <c r="C20" s="4" t="s">
        <v>11</v>
      </c>
    </row>
    <row r="21" spans="2:4">
      <c r="B21" s="94">
        <f ca="1">NOW()</f>
        <v>46276.0155902778</v>
      </c>
      <c r="C21" s="91" t="s">
        <v>36</v>
      </c>
      <c r="D21" s="1" t="s">
        <v>37</v>
      </c>
    </row>
    <row r="22" spans="2:4">
      <c r="C22" s="95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zoomScale="145" zoomScaleNormal="145" workbookViewId="0">
      <selection activeCell="F18" sqref="F18"/>
    </sheetView>
  </sheetViews>
  <sheetFormatPr defaultColWidth="9" defaultRowHeight="14.4"/>
  <cols>
    <col min="2" max="2" width="13.1111111111111" style="1" customWidth="1"/>
    <col min="3" max="3" width="12.4444444444444" style="1" customWidth="1"/>
    <col min="4" max="4" width="8" style="1" customWidth="1"/>
    <col min="5" max="5" width="14.5555555555556" style="1" customWidth="1"/>
    <col min="8" max="8" width="11.2407407407407" style="1" customWidth="1"/>
    <col min="10" max="10" width="15.2407407407407" style="1" customWidth="1"/>
  </cols>
  <sheetData>
    <row r="2" ht="21" spans="2:10">
      <c r="B2" s="3" t="s">
        <v>38</v>
      </c>
    </row>
    <row r="4" ht="15.6" spans="2:10">
      <c r="B4" s="4" t="s">
        <v>9</v>
      </c>
      <c r="C4" s="4" t="s">
        <v>39</v>
      </c>
      <c r="E4" s="4" t="s">
        <v>5</v>
      </c>
      <c r="J4" s="91"/>
    </row>
    <row r="5" spans="2:10">
      <c r="B5" s="33">
        <v>46784</v>
      </c>
      <c r="C5" s="6">
        <v>1</v>
      </c>
      <c r="E5" s="61">
        <f t="shared" ref="E5:E16" si="0">EDATE(B5,C5)</f>
        <v>46813</v>
      </c>
      <c r="F5" s="9" t="s">
        <v>40</v>
      </c>
      <c r="J5" s="11"/>
    </row>
    <row r="6" spans="2:10">
      <c r="B6" s="33">
        <v>46784</v>
      </c>
      <c r="C6" s="6">
        <v>2</v>
      </c>
      <c r="E6" s="61">
        <f t="shared" si="0"/>
        <v>46844</v>
      </c>
      <c r="F6" s="9" t="s">
        <v>41</v>
      </c>
      <c r="J6" s="11"/>
    </row>
    <row r="7" spans="2:10">
      <c r="B7" s="33">
        <v>46784</v>
      </c>
      <c r="C7" s="6">
        <v>3</v>
      </c>
      <c r="E7" s="61">
        <f t="shared" si="0"/>
        <v>46874</v>
      </c>
      <c r="F7" s="9" t="s">
        <v>42</v>
      </c>
      <c r="J7" s="11"/>
    </row>
    <row r="8" spans="2:10">
      <c r="B8" s="33">
        <v>46784</v>
      </c>
      <c r="C8" s="6">
        <v>-1</v>
      </c>
      <c r="E8" s="61">
        <f t="shared" si="0"/>
        <v>46753</v>
      </c>
      <c r="F8" s="9" t="s">
        <v>43</v>
      </c>
      <c r="J8" s="11"/>
    </row>
    <row r="9" spans="2:10">
      <c r="B9" s="33">
        <v>46784</v>
      </c>
      <c r="C9" s="6">
        <v>-2</v>
      </c>
      <c r="E9" s="61">
        <f t="shared" si="0"/>
        <v>46722</v>
      </c>
      <c r="F9" s="9" t="s">
        <v>44</v>
      </c>
      <c r="J9" s="11"/>
    </row>
    <row r="10" spans="2:10">
      <c r="B10" s="33">
        <v>46784</v>
      </c>
      <c r="C10" s="6">
        <v>-3</v>
      </c>
      <c r="E10" s="61">
        <f t="shared" si="0"/>
        <v>46692</v>
      </c>
      <c r="F10" s="9" t="s">
        <v>45</v>
      </c>
      <c r="J10" s="11"/>
    </row>
    <row r="11" spans="2:10">
      <c r="B11" s="33">
        <v>46783</v>
      </c>
      <c r="C11" s="6">
        <v>1</v>
      </c>
      <c r="E11" s="61">
        <f t="shared" si="0"/>
        <v>46812</v>
      </c>
      <c r="F11" s="9" t="s">
        <v>46</v>
      </c>
      <c r="J11" s="11"/>
    </row>
    <row r="12" spans="2:10">
      <c r="B12" s="33">
        <v>46827</v>
      </c>
      <c r="C12" s="6">
        <v>1.5</v>
      </c>
      <c r="E12" s="61">
        <f t="shared" si="0"/>
        <v>46858</v>
      </c>
      <c r="F12" s="9" t="s">
        <v>47</v>
      </c>
      <c r="J12" s="11"/>
    </row>
    <row r="13" spans="2:10">
      <c r="B13" s="33">
        <v>46827</v>
      </c>
      <c r="C13" s="6">
        <v>12</v>
      </c>
      <c r="E13" s="61">
        <f t="shared" si="0"/>
        <v>47192</v>
      </c>
      <c r="F13" s="9" t="s">
        <v>48</v>
      </c>
      <c r="J13" s="11"/>
    </row>
    <row r="14" spans="2:10">
      <c r="B14" s="33">
        <v>46827</v>
      </c>
      <c r="C14" s="6">
        <v>24</v>
      </c>
      <c r="E14" s="61">
        <f t="shared" si="0"/>
        <v>47557</v>
      </c>
      <c r="F14" s="9" t="s">
        <v>49</v>
      </c>
    </row>
    <row r="15" spans="2:10">
      <c r="B15" s="33">
        <v>46905</v>
      </c>
      <c r="C15" s="6">
        <v>120</v>
      </c>
      <c r="E15" s="61">
        <f t="shared" si="0"/>
        <v>50557</v>
      </c>
      <c r="F15" s="9" t="s">
        <v>50</v>
      </c>
    </row>
    <row r="16" spans="2:10">
      <c r="B16" s="33">
        <v>47011</v>
      </c>
      <c r="C16" s="6">
        <v>-60</v>
      </c>
      <c r="E16" s="61">
        <f t="shared" si="0"/>
        <v>45184</v>
      </c>
      <c r="F16" s="9" t="s">
        <v>51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E11" sqref="E11"/>
    </sheetView>
  </sheetViews>
  <sheetFormatPr defaultColWidth="9" defaultRowHeight="14.4"/>
  <cols>
    <col min="1" max="1" width="9.11111111111111" style="1" customWidth="1"/>
    <col min="2" max="2" width="14" style="1" customWidth="1"/>
    <col min="3" max="3" width="11.5555555555556" style="1" customWidth="1"/>
    <col min="4" max="4" width="14.212962962963" style="1" customWidth="1"/>
    <col min="5" max="5" width="15.8888888888889" style="1" customWidth="1"/>
    <col min="6" max="6" width="16.6666666666667" style="1" customWidth="1"/>
    <col min="7" max="7" width="13.3425925925926" style="1" customWidth="1"/>
    <col min="9" max="9" width="11.2407407407407" style="1" customWidth="1"/>
  </cols>
  <sheetData>
    <row r="1" spans="2:10">
      <c r="J1" s="2"/>
    </row>
    <row r="2" ht="21" spans="2:10">
      <c r="B2" s="3" t="s">
        <v>52</v>
      </c>
      <c r="C2" s="89" t="s">
        <v>53</v>
      </c>
      <c r="E2" s="28" t="s">
        <v>54</v>
      </c>
      <c r="F2" s="35" t="s">
        <v>55</v>
      </c>
    </row>
    <row r="3" spans="2:10">
      <c r="D3" s="9"/>
      <c r="E3" s="9"/>
      <c r="F3" s="9"/>
    </row>
    <row r="4" ht="15.6" spans="2:10">
      <c r="B4" s="4" t="s">
        <v>56</v>
      </c>
      <c r="C4" s="4" t="s">
        <v>57</v>
      </c>
      <c r="D4" s="4" t="s">
        <v>52</v>
      </c>
      <c r="E4" s="4" t="s">
        <v>53</v>
      </c>
      <c r="F4" s="4" t="s">
        <v>54</v>
      </c>
      <c r="G4" s="4" t="s">
        <v>55</v>
      </c>
    </row>
    <row r="5" spans="2:10">
      <c r="B5" s="6">
        <v>6.6445</v>
      </c>
      <c r="C5" s="6">
        <v>0</v>
      </c>
      <c r="D5" s="45">
        <f t="shared" ref="D5:D14" si="0">ROUND(B5,C5)</f>
        <v>7</v>
      </c>
      <c r="E5" s="45">
        <f t="shared" ref="E5:E14" si="1">ROUNDUP(B5,C5)</f>
        <v>7</v>
      </c>
      <c r="F5" s="45">
        <f t="shared" ref="F5:F14" si="2">ROUNDDOWN(B5,C5)</f>
        <v>6</v>
      </c>
      <c r="G5" s="45">
        <f t="shared" ref="G5:G14" si="3">INT(B5)</f>
        <v>6</v>
      </c>
      <c r="H5" s="9" t="s">
        <v>58</v>
      </c>
      <c r="I5" s="11"/>
    </row>
    <row r="6" spans="2:10">
      <c r="B6" s="6">
        <v>3.1926</v>
      </c>
      <c r="C6" s="6">
        <v>1</v>
      </c>
      <c r="D6" s="45">
        <f t="shared" si="0"/>
        <v>3.2</v>
      </c>
      <c r="E6" s="45">
        <f t="shared" si="1"/>
        <v>3.2</v>
      </c>
      <c r="F6" s="45">
        <f t="shared" si="2"/>
        <v>3.1</v>
      </c>
      <c r="G6" s="45">
        <f t="shared" si="3"/>
        <v>3</v>
      </c>
      <c r="H6" s="9" t="s">
        <v>59</v>
      </c>
    </row>
    <row r="7" spans="2:10">
      <c r="B7" s="6">
        <v>3.7498</v>
      </c>
      <c r="C7" s="6">
        <v>2</v>
      </c>
      <c r="D7" s="45">
        <f t="shared" si="0"/>
        <v>3.75</v>
      </c>
      <c r="E7" s="45">
        <f t="shared" si="1"/>
        <v>3.75</v>
      </c>
      <c r="F7" s="45">
        <f t="shared" si="2"/>
        <v>3.74</v>
      </c>
      <c r="G7" s="45">
        <f t="shared" si="3"/>
        <v>3</v>
      </c>
      <c r="H7" s="9" t="s">
        <v>60</v>
      </c>
    </row>
    <row r="8" spans="2:10">
      <c r="B8" s="6">
        <v>0</v>
      </c>
      <c r="C8" s="6">
        <v>3</v>
      </c>
      <c r="D8" s="45">
        <f t="shared" si="0"/>
        <v>0</v>
      </c>
      <c r="E8" s="45">
        <f t="shared" si="1"/>
        <v>0</v>
      </c>
      <c r="F8" s="45">
        <f t="shared" si="2"/>
        <v>0</v>
      </c>
      <c r="G8" s="45">
        <f t="shared" si="3"/>
        <v>0</v>
      </c>
      <c r="H8" s="9" t="s">
        <v>61</v>
      </c>
    </row>
    <row r="9" spans="2:10">
      <c r="B9" s="6">
        <v>-7.445</v>
      </c>
      <c r="C9" s="6">
        <v>1</v>
      </c>
      <c r="D9" s="45">
        <f t="shared" si="0"/>
        <v>-7.4</v>
      </c>
      <c r="E9" s="45">
        <f t="shared" si="1"/>
        <v>-7.5</v>
      </c>
      <c r="F9" s="45">
        <f t="shared" si="2"/>
        <v>-7.4</v>
      </c>
      <c r="G9" s="45">
        <f t="shared" si="3"/>
        <v>-8</v>
      </c>
      <c r="H9" s="9" t="s">
        <v>62</v>
      </c>
    </row>
    <row r="10" spans="2:10">
      <c r="B10" s="90">
        <v>-5.313</v>
      </c>
      <c r="C10" s="44">
        <v>2</v>
      </c>
      <c r="D10" s="45">
        <f t="shared" si="0"/>
        <v>-5.31</v>
      </c>
      <c r="E10" s="45">
        <f t="shared" si="1"/>
        <v>-5.32</v>
      </c>
      <c r="F10" s="45">
        <f t="shared" si="2"/>
        <v>-5.31</v>
      </c>
      <c r="G10" s="45">
        <f t="shared" si="3"/>
        <v>-6</v>
      </c>
      <c r="H10" s="9" t="s">
        <v>63</v>
      </c>
      <c r="I10" s="11"/>
    </row>
    <row r="11" spans="2:10">
      <c r="B11" s="6">
        <v>72325.3</v>
      </c>
      <c r="C11" s="6">
        <v>-1</v>
      </c>
      <c r="D11" s="45">
        <f t="shared" si="0"/>
        <v>72330</v>
      </c>
      <c r="E11" s="45">
        <f t="shared" si="1"/>
        <v>72330</v>
      </c>
      <c r="F11" s="45">
        <f t="shared" si="2"/>
        <v>72320</v>
      </c>
      <c r="G11" s="45">
        <f t="shared" si="3"/>
        <v>72325</v>
      </c>
      <c r="H11" s="9" t="s">
        <v>64</v>
      </c>
      <c r="I11" s="11"/>
    </row>
    <row r="12" spans="2:10">
      <c r="B12" s="6">
        <v>88275.5</v>
      </c>
      <c r="C12" s="6">
        <v>-2</v>
      </c>
      <c r="D12" s="45">
        <f t="shared" si="0"/>
        <v>88300</v>
      </c>
      <c r="E12" s="45">
        <f t="shared" si="1"/>
        <v>88300</v>
      </c>
      <c r="F12" s="45">
        <f t="shared" si="2"/>
        <v>88200</v>
      </c>
      <c r="G12" s="45">
        <f t="shared" si="3"/>
        <v>88275</v>
      </c>
      <c r="H12" s="9" t="s">
        <v>65</v>
      </c>
      <c r="I12" s="11"/>
    </row>
    <row r="13" spans="2:10">
      <c r="B13" s="6">
        <v>81893.8</v>
      </c>
      <c r="C13" s="6">
        <v>-3</v>
      </c>
      <c r="D13" s="45">
        <f t="shared" si="0"/>
        <v>82000</v>
      </c>
      <c r="E13" s="45">
        <f t="shared" si="1"/>
        <v>82000</v>
      </c>
      <c r="F13" s="45">
        <f t="shared" si="2"/>
        <v>81000</v>
      </c>
      <c r="G13" s="45">
        <f t="shared" si="3"/>
        <v>81893</v>
      </c>
      <c r="H13" s="9" t="s">
        <v>66</v>
      </c>
      <c r="I13" s="11"/>
    </row>
    <row r="14" spans="2:10">
      <c r="B14" s="6">
        <v>35901.4</v>
      </c>
      <c r="C14" s="6">
        <v>-4</v>
      </c>
      <c r="D14" s="45">
        <f t="shared" si="0"/>
        <v>40000</v>
      </c>
      <c r="E14" s="45">
        <f t="shared" si="1"/>
        <v>40000</v>
      </c>
      <c r="F14" s="45">
        <f t="shared" si="2"/>
        <v>30000</v>
      </c>
      <c r="G14" s="45">
        <f t="shared" si="3"/>
        <v>35901</v>
      </c>
      <c r="H14" s="9" t="s">
        <v>67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14" sqref="H14"/>
    </sheetView>
  </sheetViews>
  <sheetFormatPr defaultColWidth="8.89814814814815" defaultRowHeight="14.4"/>
  <cols>
    <col min="1" max="1" width="8.88888888888889" style="75"/>
    <col min="2" max="2" width="9.21296296296296" style="75" customWidth="1"/>
    <col min="3" max="5" width="7.33333333333333" style="75" customWidth="1"/>
    <col min="6" max="6" width="7.75925925925926" style="75" customWidth="1"/>
    <col min="7" max="7" width="4.88888888888889" style="75" customWidth="1"/>
    <col min="8" max="8" width="10.1111111111111" style="75" customWidth="1"/>
    <col min="9" max="16384" width="8.88888888888889" style="75"/>
  </cols>
  <sheetData>
    <row r="1" spans="2:11">
      <c r="J1" s="63"/>
    </row>
    <row r="2" ht="21" spans="2:11">
      <c r="B2" s="76" t="s">
        <v>68</v>
      </c>
      <c r="C2" s="77"/>
      <c r="D2" s="78"/>
      <c r="E2" s="79"/>
    </row>
    <row r="3" spans="2:11">
      <c r="D3" s="80"/>
      <c r="E3" s="80"/>
      <c r="F3" s="80"/>
    </row>
    <row r="4" ht="15.6" spans="2:11">
      <c r="B4" s="81" t="s">
        <v>69</v>
      </c>
      <c r="C4" s="81" t="s">
        <v>70</v>
      </c>
      <c r="D4" s="81" t="s">
        <v>71</v>
      </c>
      <c r="E4" s="81" t="s">
        <v>72</v>
      </c>
      <c r="F4" s="81" t="s">
        <v>73</v>
      </c>
      <c r="H4" s="82" t="s">
        <v>5</v>
      </c>
    </row>
    <row r="5" spans="2:11">
      <c r="B5" s="83">
        <v>1</v>
      </c>
      <c r="C5" s="83">
        <v>2</v>
      </c>
      <c r="D5" s="83">
        <v>3</v>
      </c>
      <c r="E5" s="84">
        <v>4</v>
      </c>
      <c r="F5" s="83">
        <v>5</v>
      </c>
      <c r="H5" s="85">
        <f t="shared" ref="H5:H13" si="0">SUM(B5:F5)</f>
        <v>15</v>
      </c>
      <c r="I5" s="80" t="s">
        <v>74</v>
      </c>
      <c r="K5" s="80"/>
    </row>
    <row r="6" spans="2:11">
      <c r="B6" s="83">
        <v>3.1926</v>
      </c>
      <c r="C6" s="83">
        <v>1.2</v>
      </c>
      <c r="D6" s="83">
        <v>3.2</v>
      </c>
      <c r="E6" s="86">
        <v>3.5</v>
      </c>
      <c r="F6" s="83">
        <v>4.1</v>
      </c>
      <c r="H6" s="85">
        <f t="shared" si="0"/>
        <v>15.1926</v>
      </c>
      <c r="I6" s="80" t="s">
        <v>75</v>
      </c>
      <c r="K6" s="80"/>
    </row>
    <row r="7" spans="2:11">
      <c r="B7" s="84">
        <v>-1</v>
      </c>
      <c r="C7" s="84">
        <v>2</v>
      </c>
      <c r="D7" s="83">
        <v>-3</v>
      </c>
      <c r="E7" s="84">
        <v>4</v>
      </c>
      <c r="F7" s="83">
        <v>-6</v>
      </c>
      <c r="H7" s="85">
        <f t="shared" si="0"/>
        <v>-4</v>
      </c>
      <c r="I7" s="80" t="s">
        <v>76</v>
      </c>
      <c r="K7" s="80"/>
    </row>
    <row r="8" spans="2:11">
      <c r="B8" s="87">
        <v>47119</v>
      </c>
      <c r="C8" s="84">
        <v>30</v>
      </c>
      <c r="D8" s="83">
        <v>55.2</v>
      </c>
      <c r="E8" s="84">
        <v>6</v>
      </c>
      <c r="F8" s="83">
        <v>1</v>
      </c>
      <c r="H8" s="85">
        <f t="shared" si="0"/>
        <v>47211.2</v>
      </c>
      <c r="I8" s="80" t="s">
        <v>77</v>
      </c>
      <c r="K8" s="80"/>
    </row>
    <row r="9" spans="2:11">
      <c r="B9" s="88">
        <v>0.78125</v>
      </c>
      <c r="C9" s="84">
        <v>10</v>
      </c>
      <c r="D9" s="83">
        <v>15</v>
      </c>
      <c r="E9" s="84">
        <v>30</v>
      </c>
      <c r="F9" s="83">
        <v>45</v>
      </c>
      <c r="H9" s="85">
        <f t="shared" si="0"/>
        <v>100.78125</v>
      </c>
      <c r="I9" s="80" t="s">
        <v>78</v>
      </c>
      <c r="K9" s="80"/>
    </row>
    <row r="10" spans="2:11">
      <c r="B10" s="83">
        <v>5</v>
      </c>
      <c r="C10" s="83" t="s">
        <v>79</v>
      </c>
      <c r="D10" s="83">
        <v>0</v>
      </c>
      <c r="E10" s="84" t="s">
        <v>80</v>
      </c>
      <c r="F10" s="83">
        <v>15</v>
      </c>
      <c r="H10" s="85">
        <f t="shared" si="0"/>
        <v>20</v>
      </c>
      <c r="I10" s="80" t="s">
        <v>81</v>
      </c>
      <c r="K10" s="80"/>
    </row>
    <row r="11" spans="2:11">
      <c r="B11" s="83" t="s">
        <v>82</v>
      </c>
      <c r="C11" s="83" t="s">
        <v>83</v>
      </c>
      <c r="D11" s="83" t="s">
        <v>84</v>
      </c>
      <c r="E11" s="84" t="s">
        <v>85</v>
      </c>
      <c r="F11" s="83" t="s">
        <v>86</v>
      </c>
      <c r="H11" s="85">
        <f t="shared" si="0"/>
        <v>0</v>
      </c>
      <c r="I11" s="80" t="s">
        <v>81</v>
      </c>
      <c r="K11" s="80"/>
    </row>
    <row r="12" spans="2:11">
      <c r="B12" s="83">
        <v>1</v>
      </c>
      <c r="C12" s="83">
        <v>2</v>
      </c>
      <c r="D12" s="83">
        <v>3</v>
      </c>
      <c r="E12" s="84">
        <v>4</v>
      </c>
      <c r="F12" s="83" t="e">
        <f>E12/0</f>
        <v>#DIV/0!</v>
      </c>
      <c r="H12" s="85" t="e">
        <f t="shared" si="0"/>
        <v>#DIV/0!</v>
      </c>
      <c r="I12" s="80" t="s">
        <v>87</v>
      </c>
      <c r="K12" s="80"/>
    </row>
    <row r="13" spans="2:11">
      <c r="B13" s="83">
        <v>5</v>
      </c>
      <c r="C13" s="83">
        <v>6</v>
      </c>
      <c r="D13" s="83">
        <v>7</v>
      </c>
      <c r="E13" s="83" t="e">
        <f>VLOOKUP(14,H5:H8,1,0)</f>
        <v>#N/A</v>
      </c>
      <c r="F13" s="84">
        <v>8</v>
      </c>
      <c r="H13" s="85" t="e">
        <f t="shared" si="0"/>
        <v>#N/A</v>
      </c>
      <c r="I13" s="80" t="s">
        <v>87</v>
      </c>
      <c r="K13" s="80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G13" sqref="G13"/>
    </sheetView>
  </sheetViews>
  <sheetFormatPr defaultColWidth="8.89814814814815" defaultRowHeight="14.4"/>
  <cols>
    <col min="1" max="1" width="8.88888888888889" style="62"/>
    <col min="2" max="2" width="9.21296296296296" style="62" customWidth="1"/>
    <col min="3" max="3" width="7.33333333333333" style="62" customWidth="1"/>
    <col min="4" max="5" width="9.88888888888889" style="62" customWidth="1"/>
    <col min="6" max="6" width="4.88888888888889" style="62" customWidth="1"/>
    <col min="7" max="7" width="10.1111111111111" style="62" customWidth="1"/>
    <col min="8" max="16384" width="8.88888888888889" style="62"/>
  </cols>
  <sheetData>
    <row r="1" spans="2:10">
      <c r="J1" s="63"/>
    </row>
    <row r="2" ht="21" spans="2:10">
      <c r="B2" s="64" t="s">
        <v>88</v>
      </c>
      <c r="C2" s="65"/>
      <c r="D2" s="66"/>
      <c r="E2" s="66"/>
    </row>
    <row r="3" spans="2:10">
      <c r="D3" s="67"/>
      <c r="E3" s="67"/>
    </row>
    <row r="4" ht="15.6" spans="2:10">
      <c r="B4" s="68" t="s">
        <v>69</v>
      </c>
      <c r="C4" s="68" t="s">
        <v>70</v>
      </c>
      <c r="D4" s="68" t="s">
        <v>71</v>
      </c>
      <c r="E4" s="68" t="s">
        <v>72</v>
      </c>
      <c r="G4" s="69" t="s">
        <v>5</v>
      </c>
    </row>
    <row r="5" spans="2:10">
      <c r="B5" s="70">
        <v>1</v>
      </c>
      <c r="C5" s="70">
        <v>2</v>
      </c>
      <c r="D5" s="70">
        <v>3</v>
      </c>
      <c r="E5" s="70">
        <v>4</v>
      </c>
      <c r="G5" s="71">
        <f t="shared" ref="G5:G14" si="0">AVERAGE(B5:E5)</f>
        <v>2.5</v>
      </c>
      <c r="H5" s="67" t="s">
        <v>74</v>
      </c>
      <c r="J5" s="67"/>
    </row>
    <row r="6" spans="2:10">
      <c r="B6" s="70">
        <v>3.1926</v>
      </c>
      <c r="C6" s="70">
        <v>1.2</v>
      </c>
      <c r="D6" s="70">
        <v>3.2</v>
      </c>
      <c r="E6" s="70">
        <v>4.8</v>
      </c>
      <c r="G6" s="71">
        <f t="shared" si="0"/>
        <v>3.09815</v>
      </c>
      <c r="H6" s="67" t="s">
        <v>75</v>
      </c>
      <c r="J6" s="67"/>
    </row>
    <row r="7" spans="2:10">
      <c r="B7" s="72">
        <v>-1</v>
      </c>
      <c r="C7" s="72">
        <v>-2</v>
      </c>
      <c r="D7" s="70">
        <v>-3</v>
      </c>
      <c r="E7" s="70">
        <v>-4</v>
      </c>
      <c r="G7" s="71">
        <f t="shared" si="0"/>
        <v>-2.5</v>
      </c>
      <c r="H7" s="67" t="s">
        <v>76</v>
      </c>
      <c r="J7" s="67"/>
    </row>
    <row r="8" spans="2:10">
      <c r="B8" s="73">
        <v>47119</v>
      </c>
      <c r="C8" s="72">
        <v>30</v>
      </c>
      <c r="D8" s="70">
        <v>55.2</v>
      </c>
      <c r="E8" s="70">
        <v>8</v>
      </c>
      <c r="G8" s="71">
        <f t="shared" si="0"/>
        <v>11803.05</v>
      </c>
      <c r="H8" s="67" t="s">
        <v>77</v>
      </c>
      <c r="J8" s="67"/>
    </row>
    <row r="9" spans="2:10">
      <c r="B9" s="74">
        <v>0.78125</v>
      </c>
      <c r="C9" s="72">
        <v>10</v>
      </c>
      <c r="D9" s="70">
        <v>15</v>
      </c>
      <c r="E9" s="70">
        <v>3</v>
      </c>
      <c r="G9" s="71">
        <f t="shared" si="0"/>
        <v>7.1953125</v>
      </c>
      <c r="H9" s="67" t="s">
        <v>78</v>
      </c>
      <c r="J9" s="67"/>
    </row>
    <row r="10" spans="2:10">
      <c r="B10" s="72">
        <v>5</v>
      </c>
      <c r="C10" s="72">
        <v>10</v>
      </c>
      <c r="D10" s="70">
        <v>0</v>
      </c>
      <c r="E10" s="70">
        <v>15</v>
      </c>
      <c r="G10" s="71">
        <f t="shared" si="0"/>
        <v>7.5</v>
      </c>
      <c r="H10" s="67" t="s">
        <v>89</v>
      </c>
      <c r="J10" s="67"/>
    </row>
    <row r="11" spans="2:10">
      <c r="B11" s="72">
        <v>5</v>
      </c>
      <c r="C11" s="72">
        <v>10</v>
      </c>
      <c r="D11" s="70"/>
      <c r="E11" s="70">
        <v>15</v>
      </c>
      <c r="G11" s="71">
        <f t="shared" si="0"/>
        <v>10</v>
      </c>
      <c r="H11" s="67" t="s">
        <v>90</v>
      </c>
      <c r="J11" s="67"/>
    </row>
    <row r="12" spans="2:10">
      <c r="B12" s="70">
        <v>5</v>
      </c>
      <c r="C12" s="70" t="s">
        <v>79</v>
      </c>
      <c r="D12" s="70">
        <v>1</v>
      </c>
      <c r="E12" s="70">
        <v>1</v>
      </c>
      <c r="G12" s="71">
        <f t="shared" si="0"/>
        <v>2.33333333333333</v>
      </c>
      <c r="H12" s="67" t="s">
        <v>81</v>
      </c>
    </row>
    <row r="13" spans="2:10">
      <c r="B13" s="70" t="s">
        <v>82</v>
      </c>
      <c r="C13" s="70" t="s">
        <v>83</v>
      </c>
      <c r="D13" s="70" t="s">
        <v>84</v>
      </c>
      <c r="E13" s="70" t="s">
        <v>85</v>
      </c>
      <c r="G13" s="71" t="e">
        <f t="shared" si="0"/>
        <v>#DIV/0!</v>
      </c>
      <c r="H13" s="67" t="s">
        <v>81</v>
      </c>
      <c r="J13" s="67"/>
    </row>
    <row r="14" spans="2:10">
      <c r="B14" s="70">
        <v>1</v>
      </c>
      <c r="C14" s="70">
        <v>2</v>
      </c>
      <c r="D14" s="70" t="e">
        <f>VLOOKUP(G7,G5:G6,1,0)</f>
        <v>#N/A</v>
      </c>
      <c r="E14" s="70">
        <v>3</v>
      </c>
      <c r="G14" s="71" t="e">
        <f t="shared" si="0"/>
        <v>#N/A</v>
      </c>
      <c r="H14" s="67" t="s">
        <v>91</v>
      </c>
      <c r="J14" s="67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16" sqref="D16"/>
    </sheetView>
  </sheetViews>
  <sheetFormatPr defaultColWidth="9" defaultRowHeight="14.4"/>
  <cols>
    <col min="2" max="2" width="14.5555555555556" style="1" customWidth="1"/>
    <col min="3" max="3" width="15.1111111111111" style="1" customWidth="1"/>
    <col min="4" max="4" width="14.4444444444444" style="1" customWidth="1"/>
    <col min="5" max="5" width="11.2407407407407" style="1" customWidth="1"/>
    <col min="7" max="7" width="11.2407407407407" style="1" customWidth="1"/>
  </cols>
  <sheetData>
    <row r="1" spans="1:10">
      <c r="A1" t="str">
        <f>IF(C5&gt;=90000,"ДА","нет")</f>
        <v>ДА</v>
      </c>
      <c r="J1" s="2"/>
    </row>
    <row r="2" ht="21" spans="1:10">
      <c r="B2" s="3" t="s">
        <v>92</v>
      </c>
    </row>
    <row r="4" ht="15.6" spans="1:10">
      <c r="B4" s="4" t="s">
        <v>93</v>
      </c>
      <c r="C4" s="4" t="s">
        <v>94</v>
      </c>
      <c r="D4" s="4" t="s">
        <v>95</v>
      </c>
    </row>
    <row r="5" spans="1:10">
      <c r="B5" s="33" t="s">
        <v>96</v>
      </c>
      <c r="C5" s="17">
        <v>110000</v>
      </c>
      <c r="D5" s="61" t="str">
        <f>IF(C5&gt;=90000,"Да","Нет")</f>
        <v>Да</v>
      </c>
      <c r="F5" s="9"/>
      <c r="G5" s="11"/>
    </row>
    <row r="6" spans="1:10">
      <c r="B6" s="33" t="s">
        <v>97</v>
      </c>
      <c r="C6" s="17">
        <v>113000</v>
      </c>
      <c r="D6" s="61" t="str">
        <f>IF(C6&gt;=90000,"Да","Нет")</f>
        <v>Да</v>
      </c>
      <c r="F6" s="9"/>
      <c r="G6" s="11"/>
    </row>
    <row r="7" spans="1:10">
      <c r="B7" s="33" t="s">
        <v>98</v>
      </c>
      <c r="C7" s="17">
        <v>106000</v>
      </c>
      <c r="D7" s="61" t="str">
        <f>IF(C7&gt;=90000,"Да","Нет")</f>
        <v>Да</v>
      </c>
      <c r="F7" s="9"/>
      <c r="G7" s="11"/>
    </row>
    <row r="8" spans="1:10">
      <c r="B8" s="33" t="s">
        <v>99</v>
      </c>
      <c r="C8" s="17">
        <v>84000</v>
      </c>
      <c r="D8" s="61" t="str">
        <f>IF(C8&gt;=90000,"Да","Нет")</f>
        <v>Нет</v>
      </c>
      <c r="F8" s="9"/>
      <c r="G8" s="11"/>
    </row>
    <row r="9" spans="1:10">
      <c r="B9" s="33" t="s">
        <v>100</v>
      </c>
      <c r="C9" s="17">
        <v>134000</v>
      </c>
      <c r="D9" s="61" t="str">
        <f>IF(C10&gt;=90000,"Да","Нет")</f>
        <v>Нет</v>
      </c>
      <c r="F9" s="9"/>
      <c r="G9" s="11"/>
    </row>
    <row r="10" spans="1:10">
      <c r="B10" s="33" t="s">
        <v>101</v>
      </c>
      <c r="C10" s="17">
        <v>51000</v>
      </c>
      <c r="D10" s="61" t="str">
        <f>IF(C11&gt;=90000,"Да","Нет")</f>
        <v>Нет</v>
      </c>
      <c r="F10" s="9"/>
      <c r="G10" s="11"/>
    </row>
    <row r="11" spans="1:10">
      <c r="B11" s="33" t="s">
        <v>102</v>
      </c>
      <c r="C11" s="17">
        <v>83000</v>
      </c>
      <c r="D11" s="61" t="str">
        <f>IF(C12&gt;=90000,"Да","Нет")</f>
        <v>Нет</v>
      </c>
      <c r="F11" s="9"/>
      <c r="G11" s="11"/>
    </row>
    <row r="12" spans="1:10">
      <c r="B12" s="33" t="s">
        <v>103</v>
      </c>
      <c r="C12" s="17">
        <v>75000</v>
      </c>
      <c r="D12" s="61" t="str">
        <f>IF(C12&gt;=90000,"Да","Нет")</f>
        <v>Нет</v>
      </c>
      <c r="F12" s="9"/>
      <c r="G12" s="11"/>
    </row>
    <row r="13" spans="1:10">
      <c r="B13" s="33" t="s">
        <v>104</v>
      </c>
      <c r="C13" s="17">
        <v>92000</v>
      </c>
      <c r="D13" s="61" t="str">
        <f>IF(C13&gt;=90000,"Да","Нет")</f>
        <v>Да</v>
      </c>
      <c r="F13" s="9"/>
      <c r="G13" s="11"/>
    </row>
    <row r="14" spans="1:10">
      <c r="B14" s="34" t="s">
        <v>105</v>
      </c>
      <c r="C14" s="17">
        <v>99000</v>
      </c>
      <c r="D14" s="61" t="str">
        <f>IF(C14&gt;=90000,"Да","Нет")</f>
        <v>Да</v>
      </c>
      <c r="F14" s="9"/>
    </row>
    <row r="15" spans="1:10">
      <c r="B15" s="34" t="s">
        <v>106</v>
      </c>
      <c r="C15" s="17">
        <v>61000</v>
      </c>
      <c r="D15" s="61" t="str">
        <f>IF(C15&gt;=90000,"Да","Нет")</f>
        <v>Нет</v>
      </c>
      <c r="F15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11" sqref="D11"/>
    </sheetView>
  </sheetViews>
  <sheetFormatPr defaultColWidth="9" defaultRowHeight="14.4"/>
  <cols>
    <col min="2" max="2" width="11.1111111111111" style="1" customWidth="1"/>
    <col min="3" max="3" width="13.7592592592593" style="1" customWidth="1"/>
    <col min="4" max="4" width="6.33333333333333" style="1" customWidth="1"/>
    <col min="5" max="5" width="11.2407407407407" style="1" customWidth="1"/>
    <col min="6" max="6" width="13.7592592592593" style="1" customWidth="1"/>
    <col min="7" max="7" width="11.2407407407407" style="1" customWidth="1"/>
    <col min="9" max="9" width="11.2407407407407" style="1" customWidth="1"/>
  </cols>
  <sheetData>
    <row r="1" spans="1:10">
      <c r="A1">
        <v>8</v>
      </c>
      <c r="J1" s="2"/>
    </row>
    <row r="2" ht="21" spans="1:10">
      <c r="B2" s="3" t="s">
        <v>107</v>
      </c>
      <c r="D2" s="35"/>
      <c r="E2" s="35" t="s">
        <v>108</v>
      </c>
    </row>
    <row r="3" spans="1:10">
      <c r="C3" s="9"/>
      <c r="D3" s="9"/>
      <c r="E3" s="9"/>
      <c r="F3" s="9"/>
    </row>
    <row r="4" ht="15.6" spans="1:10">
      <c r="B4" s="4" t="s">
        <v>109</v>
      </c>
      <c r="C4" s="4" t="s">
        <v>107</v>
      </c>
      <c r="D4" s="9"/>
      <c r="E4" s="4" t="s">
        <v>110</v>
      </c>
      <c r="F4" s="4" t="s">
        <v>108</v>
      </c>
    </row>
    <row r="5" spans="1:10">
      <c r="B5" s="6">
        <v>80</v>
      </c>
      <c r="C5" s="60" t="b">
        <f t="shared" ref="C5:C14" si="0">AND(B5&gt;=80,B5&lt;=120)</f>
        <v>1</v>
      </c>
      <c r="D5" s="9"/>
      <c r="E5" s="6" t="s">
        <v>111</v>
      </c>
      <c r="F5" s="60" t="b">
        <f t="shared" ref="F5:F14" si="1">OR(E5="Красный",E5="Синий")</f>
        <v>1</v>
      </c>
      <c r="G5" s="9"/>
      <c r="I5" s="11"/>
    </row>
    <row r="6" spans="1:10">
      <c r="B6" s="6">
        <v>110</v>
      </c>
      <c r="C6" s="60" t="b">
        <f t="shared" si="0"/>
        <v>1</v>
      </c>
      <c r="D6" s="9"/>
      <c r="E6" s="6" t="s">
        <v>112</v>
      </c>
      <c r="F6" s="60" t="b">
        <f t="shared" si="1"/>
        <v>1</v>
      </c>
      <c r="G6" s="9"/>
    </row>
    <row r="7" spans="1:10">
      <c r="B7" s="6">
        <v>80</v>
      </c>
      <c r="C7" s="60" t="b">
        <f t="shared" si="0"/>
        <v>1</v>
      </c>
      <c r="D7" s="9"/>
      <c r="E7" s="6" t="s">
        <v>111</v>
      </c>
      <c r="F7" s="60" t="b">
        <f t="shared" si="1"/>
        <v>1</v>
      </c>
      <c r="G7" s="9"/>
    </row>
    <row r="8" spans="1:10">
      <c r="B8" s="6">
        <v>110</v>
      </c>
      <c r="C8" s="60" t="b">
        <f t="shared" si="0"/>
        <v>1</v>
      </c>
      <c r="D8" s="9"/>
      <c r="E8" s="6" t="s">
        <v>113</v>
      </c>
      <c r="F8" s="60" t="b">
        <f t="shared" si="1"/>
        <v>0</v>
      </c>
      <c r="G8" s="9"/>
    </row>
    <row r="9" spans="1:10">
      <c r="B9" s="6">
        <v>60</v>
      </c>
      <c r="C9" s="60" t="b">
        <f t="shared" si="0"/>
        <v>0</v>
      </c>
      <c r="D9" s="9"/>
      <c r="E9" s="6" t="s">
        <v>112</v>
      </c>
      <c r="F9" s="60" t="b">
        <f t="shared" si="1"/>
        <v>1</v>
      </c>
      <c r="G9" s="9"/>
    </row>
    <row r="10" spans="1:10">
      <c r="B10" s="6">
        <v>80</v>
      </c>
      <c r="C10" s="60" t="b">
        <f t="shared" si="0"/>
        <v>1</v>
      </c>
      <c r="D10" s="9"/>
      <c r="E10" s="6" t="s">
        <v>114</v>
      </c>
      <c r="F10" s="60" t="b">
        <f t="shared" si="1"/>
        <v>0</v>
      </c>
      <c r="G10" s="9"/>
      <c r="I10" s="11"/>
    </row>
    <row r="11" spans="1:10">
      <c r="B11" s="6">
        <v>110</v>
      </c>
      <c r="C11" s="60" t="b">
        <f t="shared" si="0"/>
        <v>1</v>
      </c>
      <c r="D11" s="9"/>
      <c r="E11" s="6" t="s">
        <v>112</v>
      </c>
      <c r="F11" s="60" t="b">
        <f t="shared" si="1"/>
        <v>1</v>
      </c>
      <c r="G11" s="9"/>
      <c r="I11" s="11"/>
    </row>
    <row r="12" spans="1:10">
      <c r="B12" s="6">
        <v>120</v>
      </c>
      <c r="C12" s="60" t="b">
        <f t="shared" si="0"/>
        <v>1</v>
      </c>
      <c r="D12" s="9"/>
      <c r="E12" s="6" t="s">
        <v>112</v>
      </c>
      <c r="F12" s="60" t="b">
        <f t="shared" si="1"/>
        <v>1</v>
      </c>
      <c r="G12" s="9"/>
      <c r="I12" s="11"/>
    </row>
    <row r="13" spans="1:10">
      <c r="B13" s="6">
        <v>70</v>
      </c>
      <c r="C13" s="60" t="b">
        <f t="shared" si="0"/>
        <v>0</v>
      </c>
      <c r="D13" s="9"/>
      <c r="E13" s="6" t="s">
        <v>113</v>
      </c>
      <c r="F13" s="60" t="b">
        <f t="shared" si="1"/>
        <v>0</v>
      </c>
      <c r="G13" s="9"/>
      <c r="I13" s="11"/>
    </row>
    <row r="14" spans="1:10">
      <c r="B14" s="6">
        <v>140</v>
      </c>
      <c r="C14" s="60" t="b">
        <f t="shared" si="0"/>
        <v>0</v>
      </c>
      <c r="D14" s="9"/>
      <c r="E14" s="6" t="s">
        <v>114</v>
      </c>
      <c r="F14" s="60" t="b">
        <f t="shared" si="1"/>
        <v>0</v>
      </c>
      <c r="G14" s="9"/>
    </row>
    <row r="15" spans="1:10">
      <c r="D15" s="9"/>
    </row>
  </sheetData>
  <conditionalFormatting sqref="C5:C14">
    <cfRule type="cellIs" dxfId="0" priority="2" operator="equal">
      <formula>1</formula>
    </cfRule>
  </conditionalFormatting>
  <conditionalFormatting sqref="F5:F14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5" sqref="H5"/>
    </sheetView>
  </sheetViews>
  <sheetFormatPr defaultColWidth="9" defaultRowHeight="14.4"/>
  <cols>
    <col min="2" max="2" width="17.6666666666667" style="1" customWidth="1"/>
    <col min="3" max="3" width="10.2407407407407" style="1" customWidth="1"/>
    <col min="4" max="4" width="15.8888888888889" style="1" customWidth="1"/>
    <col min="5" max="5" width="14.6666666666667" style="1" customWidth="1"/>
    <col min="6" max="6" width="5.44444444444444" style="1" customWidth="1"/>
    <col min="7" max="7" width="19.6666666666667" style="1" customWidth="1"/>
    <col min="8" max="8" width="10.4444444444444" style="1" customWidth="1"/>
  </cols>
  <sheetData>
    <row r="1" spans="2:10">
      <c r="J1" s="2"/>
    </row>
    <row r="2" ht="21" spans="2:10">
      <c r="B2" s="3" t="s">
        <v>115</v>
      </c>
      <c r="C2" s="35"/>
      <c r="D2" s="36"/>
      <c r="E2" s="36"/>
    </row>
    <row r="3" spans="2:10">
      <c r="D3" s="9"/>
      <c r="E3" s="9"/>
    </row>
    <row r="4" ht="15.6" spans="2:10">
      <c r="B4" s="4" t="s">
        <v>116</v>
      </c>
      <c r="C4" s="4" t="s">
        <v>117</v>
      </c>
      <c r="D4" s="4" t="s">
        <v>118</v>
      </c>
      <c r="E4" s="22" t="s">
        <v>119</v>
      </c>
      <c r="G4" s="15" t="s">
        <v>120</v>
      </c>
      <c r="H4" s="15" t="s">
        <v>109</v>
      </c>
    </row>
    <row r="5" spans="2:10">
      <c r="B5" s="6" t="s">
        <v>121</v>
      </c>
      <c r="C5" s="17">
        <v>5500</v>
      </c>
      <c r="D5" s="47">
        <v>4.53</v>
      </c>
      <c r="E5" s="6" t="s">
        <v>122</v>
      </c>
      <c r="G5" s="6" t="s">
        <v>123</v>
      </c>
      <c r="H5" s="30">
        <f>COUNTIF(C5:C13,"&lt;=5000")</f>
        <v>6</v>
      </c>
    </row>
    <row r="6" spans="2:10">
      <c r="B6" s="6" t="s">
        <v>124</v>
      </c>
      <c r="C6" s="17">
        <v>1800</v>
      </c>
      <c r="D6" s="47">
        <v>4.84</v>
      </c>
      <c r="E6" s="6" t="s">
        <v>125</v>
      </c>
      <c r="G6" s="6" t="s">
        <v>126</v>
      </c>
      <c r="H6" s="30">
        <f>COUNTIF(D5:D13,"&gt;=4")</f>
        <v>4</v>
      </c>
    </row>
    <row r="7" spans="2:10">
      <c r="B7" s="6" t="s">
        <v>127</v>
      </c>
      <c r="C7" s="17">
        <v>2500</v>
      </c>
      <c r="D7" s="47">
        <v>2.3</v>
      </c>
      <c r="E7" s="6" t="s">
        <v>125</v>
      </c>
      <c r="G7" s="6" t="s">
        <v>128</v>
      </c>
      <c r="H7" s="30">
        <f>COUNTIF(E5:E13,"да")</f>
        <v>3</v>
      </c>
    </row>
    <row r="8" spans="2:10">
      <c r="B8" s="6" t="s">
        <v>129</v>
      </c>
      <c r="C8" s="17">
        <v>4900</v>
      </c>
      <c r="D8" s="47">
        <v>2.1</v>
      </c>
      <c r="E8" s="6" t="s">
        <v>122</v>
      </c>
      <c r="G8" s="9"/>
    </row>
    <row r="9" spans="2:10">
      <c r="B9" s="6" t="s">
        <v>130</v>
      </c>
      <c r="C9" s="17">
        <v>4800</v>
      </c>
      <c r="D9" s="47">
        <v>1.23</v>
      </c>
      <c r="E9" s="6" t="s">
        <v>122</v>
      </c>
      <c r="G9" s="9"/>
    </row>
    <row r="10" spans="2:10">
      <c r="B10" s="44" t="s">
        <v>131</v>
      </c>
      <c r="C10" s="17">
        <v>5700</v>
      </c>
      <c r="D10" s="47">
        <v>4.34</v>
      </c>
      <c r="E10" s="6" t="s">
        <v>125</v>
      </c>
      <c r="G10" s="9"/>
    </row>
    <row r="11" spans="2:10">
      <c r="B11" s="6" t="s">
        <v>132</v>
      </c>
      <c r="C11" s="17">
        <v>2400</v>
      </c>
      <c r="D11" s="47">
        <v>2.26</v>
      </c>
      <c r="E11" s="6" t="s">
        <v>125</v>
      </c>
    </row>
    <row r="12" spans="2:10">
      <c r="B12" s="6" t="s">
        <v>133</v>
      </c>
      <c r="C12" s="17">
        <v>3300</v>
      </c>
      <c r="D12" s="47">
        <v>4.8</v>
      </c>
      <c r="E12" s="6" t="s">
        <v>125</v>
      </c>
      <c r="G12" s="9"/>
    </row>
    <row r="13" spans="2:10">
      <c r="B13" s="6" t="s">
        <v>134</v>
      </c>
      <c r="C13" s="17">
        <v>6200</v>
      </c>
      <c r="D13" s="47">
        <v>3.24</v>
      </c>
      <c r="E13" s="6" t="s">
        <v>125</v>
      </c>
      <c r="G13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5" sqref="H5"/>
    </sheetView>
  </sheetViews>
  <sheetFormatPr defaultColWidth="9" defaultRowHeight="14.4"/>
  <cols>
    <col min="2" max="2" width="16.7685185185185" style="1" customWidth="1"/>
    <col min="3" max="3" width="16.5555555555556" style="1" customWidth="1"/>
    <col min="4" max="4" width="17.3333333333333" style="1" customWidth="1"/>
    <col min="5" max="5" width="8.11111111111111" style="1" customWidth="1"/>
    <col min="6" max="6" width="8.66666666666667" style="1" customWidth="1"/>
    <col min="7" max="7" width="14.5555555555556" style="1" customWidth="1"/>
    <col min="8" max="8" width="11.2407407407407" style="1" customWidth="1"/>
  </cols>
  <sheetData>
    <row r="1" spans="2:11">
      <c r="J1" s="2"/>
    </row>
    <row r="2" ht="21" spans="2:11">
      <c r="B2" s="3" t="s">
        <v>135</v>
      </c>
      <c r="C2" s="35"/>
      <c r="D2" s="36"/>
    </row>
    <row r="3" spans="2:11">
      <c r="D3" s="9"/>
    </row>
    <row r="4" ht="15.6" spans="2:11">
      <c r="B4" s="4" t="s">
        <v>136</v>
      </c>
      <c r="C4" s="4" t="s">
        <v>137</v>
      </c>
      <c r="D4" s="4" t="s">
        <v>138</v>
      </c>
      <c r="G4" s="58" t="s">
        <v>136</v>
      </c>
      <c r="H4" s="58" t="s">
        <v>5</v>
      </c>
    </row>
    <row r="5" spans="2:11">
      <c r="B5" s="26" t="s">
        <v>139</v>
      </c>
      <c r="C5" s="6" t="s">
        <v>140</v>
      </c>
      <c r="D5" s="27">
        <v>17000</v>
      </c>
      <c r="G5" s="6" t="s">
        <v>139</v>
      </c>
      <c r="H5" s="8">
        <f>SUMIF(B5:B13,G5,D5:D13)</f>
        <v>33000</v>
      </c>
      <c r="K5" s="9"/>
    </row>
    <row r="6" spans="2:11">
      <c r="B6" s="26" t="s">
        <v>141</v>
      </c>
      <c r="C6" s="6" t="s">
        <v>142</v>
      </c>
      <c r="D6" s="27">
        <v>14000</v>
      </c>
      <c r="K6" s="9"/>
    </row>
    <row r="7" spans="2:11">
      <c r="B7" s="26" t="s">
        <v>139</v>
      </c>
      <c r="C7" s="44" t="s">
        <v>142</v>
      </c>
      <c r="D7" s="27">
        <v>8000</v>
      </c>
      <c r="K7" s="9"/>
    </row>
    <row r="8" spans="2:11">
      <c r="B8" s="26" t="s">
        <v>143</v>
      </c>
      <c r="C8" s="6" t="s">
        <v>140</v>
      </c>
      <c r="D8" s="27">
        <v>13000</v>
      </c>
      <c r="K8" s="9"/>
    </row>
    <row r="9" spans="2:11">
      <c r="B9" s="26" t="s">
        <v>144</v>
      </c>
      <c r="C9" s="6" t="s">
        <v>140</v>
      </c>
      <c r="D9" s="27">
        <v>9000</v>
      </c>
      <c r="K9" s="9"/>
    </row>
    <row r="10" spans="2:11">
      <c r="B10" s="59" t="s">
        <v>145</v>
      </c>
      <c r="C10" s="44" t="s">
        <v>142</v>
      </c>
      <c r="D10" s="27">
        <v>22000</v>
      </c>
      <c r="K10" s="9"/>
    </row>
    <row r="11" spans="2:11">
      <c r="B11" s="26" t="s">
        <v>139</v>
      </c>
      <c r="C11" s="6" t="s">
        <v>142</v>
      </c>
      <c r="D11" s="27">
        <v>8000</v>
      </c>
    </row>
    <row r="12" spans="2:11">
      <c r="B12" s="26" t="s">
        <v>143</v>
      </c>
      <c r="C12" s="6" t="s">
        <v>140</v>
      </c>
      <c r="D12" s="27">
        <v>14000</v>
      </c>
      <c r="K12" s="9"/>
    </row>
    <row r="13" spans="2:11">
      <c r="B13" s="26" t="s">
        <v>145</v>
      </c>
      <c r="C13" s="6" t="s">
        <v>146</v>
      </c>
      <c r="D13" s="27">
        <v>16000</v>
      </c>
      <c r="K13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L37" sqref="L37"/>
    </sheetView>
  </sheetViews>
  <sheetFormatPr defaultColWidth="9" defaultRowHeight="14.4"/>
  <cols>
    <col min="2" max="3" width="10.2407407407407" style="1" customWidth="1"/>
    <col min="4" max="4" width="11" style="1" customWidth="1"/>
    <col min="5" max="5" width="13.6666666666667" style="1" customWidth="1"/>
    <col min="6" max="6" width="5.44444444444444" style="1" customWidth="1"/>
    <col min="7" max="7" width="14.6666666666667" style="1" customWidth="1"/>
    <col min="8" max="8" width="10.4444444444444" style="1" customWidth="1"/>
  </cols>
  <sheetData>
    <row r="1" spans="2:10">
      <c r="J1" s="2"/>
    </row>
    <row r="2" ht="21" spans="2:10">
      <c r="B2" s="3" t="s">
        <v>147</v>
      </c>
      <c r="C2" s="35"/>
      <c r="D2" s="36"/>
      <c r="E2" s="36"/>
    </row>
    <row r="3" spans="2:10">
      <c r="D3" s="9"/>
      <c r="E3" s="9"/>
    </row>
    <row r="4" ht="15.6" spans="2:10">
      <c r="B4" s="4" t="s">
        <v>148</v>
      </c>
      <c r="C4" s="4" t="s">
        <v>149</v>
      </c>
      <c r="D4" s="4" t="s">
        <v>150</v>
      </c>
      <c r="E4" s="22" t="s">
        <v>151</v>
      </c>
      <c r="G4" s="15" t="s">
        <v>120</v>
      </c>
      <c r="H4" s="15" t="s">
        <v>152</v>
      </c>
    </row>
    <row r="5" spans="2:10">
      <c r="B5" s="6" t="s">
        <v>153</v>
      </c>
      <c r="C5" s="17">
        <v>6500</v>
      </c>
      <c r="D5" s="6" t="s">
        <v>122</v>
      </c>
      <c r="E5" s="6">
        <v>3</v>
      </c>
      <c r="G5" s="6" t="s">
        <v>154</v>
      </c>
      <c r="H5" s="23">
        <f>AVERAGEIF(C5:C13,"&gt;5000")</f>
        <v>6733.33333333333</v>
      </c>
    </row>
    <row r="6" spans="2:10">
      <c r="B6" s="6" t="s">
        <v>155</v>
      </c>
      <c r="C6" s="17">
        <v>4500</v>
      </c>
      <c r="D6" s="6" t="s">
        <v>125</v>
      </c>
      <c r="E6" s="6">
        <v>2</v>
      </c>
      <c r="G6" s="6" t="s">
        <v>156</v>
      </c>
      <c r="H6" s="23">
        <f>AVERAGEIF(E5:E13,"&gt;=2")</f>
        <v>2.57142857142857</v>
      </c>
    </row>
    <row r="7" spans="2:10">
      <c r="B7" s="6" t="s">
        <v>157</v>
      </c>
      <c r="C7" s="17">
        <v>4300</v>
      </c>
      <c r="D7" s="6" t="s">
        <v>125</v>
      </c>
      <c r="E7" s="6">
        <v>2</v>
      </c>
      <c r="G7" s="6" t="s">
        <v>158</v>
      </c>
      <c r="H7" s="23">
        <f>AVERAGEIF(D5:D13,"да",C5:C13)</f>
        <v>6125</v>
      </c>
    </row>
    <row r="8" spans="2:10">
      <c r="B8" s="6" t="s">
        <v>159</v>
      </c>
      <c r="C8" s="17">
        <v>6400</v>
      </c>
      <c r="D8" s="6" t="s">
        <v>122</v>
      </c>
      <c r="E8" s="6">
        <v>1</v>
      </c>
      <c r="G8" s="9"/>
    </row>
    <row r="9" spans="2:10">
      <c r="B9" s="6" t="s">
        <v>160</v>
      </c>
      <c r="C9" s="17">
        <v>7300</v>
      </c>
      <c r="D9" s="6" t="s">
        <v>122</v>
      </c>
      <c r="E9" s="6">
        <v>1</v>
      </c>
      <c r="G9" s="9"/>
    </row>
    <row r="10" spans="2:10">
      <c r="B10" s="44" t="s">
        <v>161</v>
      </c>
      <c r="C10" s="17">
        <v>3800</v>
      </c>
      <c r="D10" s="6" t="s">
        <v>125</v>
      </c>
      <c r="E10" s="6">
        <v>3</v>
      </c>
      <c r="G10" s="9"/>
    </row>
    <row r="11" spans="2:10">
      <c r="B11" s="6" t="s">
        <v>162</v>
      </c>
      <c r="C11" s="17">
        <v>4300</v>
      </c>
      <c r="D11" s="6" t="s">
        <v>122</v>
      </c>
      <c r="E11" s="6">
        <v>4</v>
      </c>
    </row>
    <row r="12" spans="2:10">
      <c r="B12" s="6" t="s">
        <v>163</v>
      </c>
      <c r="C12" s="17">
        <v>3700</v>
      </c>
      <c r="D12" s="6" t="s">
        <v>125</v>
      </c>
      <c r="E12" s="6">
        <v>2</v>
      </c>
      <c r="G12" s="9"/>
    </row>
    <row r="13" spans="2:10">
      <c r="B13" s="6" t="s">
        <v>164</v>
      </c>
      <c r="C13" s="17">
        <v>1500</v>
      </c>
      <c r="D13" s="6" t="s">
        <v>125</v>
      </c>
      <c r="E13" s="6">
        <v>2</v>
      </c>
      <c r="G13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workbookViewId="0">
      <selection activeCell="L37" sqref="L37"/>
    </sheetView>
  </sheetViews>
  <sheetFormatPr defaultColWidth="9" defaultRowHeight="14.4" outlineLevelCol="5"/>
  <cols>
    <col min="2" max="3" width="11.2407407407407" style="1" customWidth="1"/>
    <col min="4" max="4" width="6.44444444444444" style="1" customWidth="1"/>
    <col min="5" max="5" width="17.4444444444444" style="1" customWidth="1"/>
  </cols>
  <sheetData>
    <row r="2" ht="21" spans="1:6">
      <c r="B2" s="3" t="s">
        <v>165</v>
      </c>
      <c r="C2" s="3"/>
      <c r="D2" s="28" t="s">
        <v>166</v>
      </c>
      <c r="E2" s="36"/>
    </row>
    <row r="3" spans="1:6">
      <c r="E3" s="9"/>
    </row>
    <row r="4" ht="15" customHeight="1" spans="1:6">
      <c r="B4" s="4" t="s">
        <v>167</v>
      </c>
      <c r="C4" s="4" t="s">
        <v>168</v>
      </c>
      <c r="E4" s="29" t="s">
        <v>169</v>
      </c>
    </row>
    <row r="5" spans="1:6">
      <c r="B5" s="6" t="s">
        <v>170</v>
      </c>
      <c r="C5" s="6">
        <v>58</v>
      </c>
      <c r="E5" s="29"/>
      <c r="F5" s="9"/>
    </row>
    <row r="6" spans="1:6">
      <c r="B6" s="6" t="s">
        <v>171</v>
      </c>
      <c r="C6" s="6">
        <v>30</v>
      </c>
      <c r="E6" s="43">
        <f>MIN(C5:C15)</f>
        <v>24</v>
      </c>
      <c r="F6" s="9"/>
    </row>
    <row r="7" ht="15.6" spans="1:6">
      <c r="A7" s="31"/>
      <c r="B7" s="6" t="s">
        <v>172</v>
      </c>
      <c r="C7" s="6">
        <v>37</v>
      </c>
      <c r="F7" s="9"/>
    </row>
    <row r="8" ht="15" customHeight="1" spans="1:6">
      <c r="A8" s="31"/>
      <c r="B8" s="32" t="s">
        <v>173</v>
      </c>
      <c r="C8" s="6">
        <v>96</v>
      </c>
      <c r="E8" s="29" t="s">
        <v>174</v>
      </c>
      <c r="F8" s="9"/>
    </row>
    <row r="9" ht="15.6" spans="1:6">
      <c r="A9" s="31"/>
      <c r="B9" s="33" t="s">
        <v>175</v>
      </c>
      <c r="C9" s="6">
        <v>84</v>
      </c>
      <c r="E9" s="29"/>
      <c r="F9" s="9"/>
    </row>
    <row r="10" ht="15.6" spans="1:6">
      <c r="A10" s="31"/>
      <c r="B10" s="33" t="s">
        <v>176</v>
      </c>
      <c r="C10" s="6">
        <v>89</v>
      </c>
      <c r="E10" s="43">
        <f>MAX(C5:C15)</f>
        <v>96</v>
      </c>
      <c r="F10" s="9"/>
    </row>
    <row r="11" ht="15.6" spans="1:6">
      <c r="A11" s="31"/>
      <c r="B11" s="33" t="s">
        <v>177</v>
      </c>
      <c r="C11" s="6">
        <v>70</v>
      </c>
      <c r="D11" s="9"/>
    </row>
    <row r="12" ht="15.6" spans="1:6">
      <c r="A12" s="31"/>
      <c r="B12" s="33" t="s">
        <v>178</v>
      </c>
      <c r="C12" s="6">
        <v>24</v>
      </c>
      <c r="D12" s="9"/>
      <c r="F12" s="9"/>
    </row>
    <row r="13" ht="15.6" spans="1:6">
      <c r="A13" s="31"/>
      <c r="B13" s="34" t="s">
        <v>179</v>
      </c>
      <c r="C13" s="6">
        <v>62</v>
      </c>
      <c r="D13" s="9"/>
      <c r="F13" s="9"/>
    </row>
    <row r="14" spans="1:6">
      <c r="B14" s="6" t="s">
        <v>180</v>
      </c>
      <c r="C14" s="6">
        <v>78</v>
      </c>
      <c r="D14" s="9"/>
    </row>
    <row r="15" spans="1:6">
      <c r="B15" s="6" t="s">
        <v>181</v>
      </c>
      <c r="C15" s="6">
        <v>72</v>
      </c>
    </row>
  </sheetData>
  <mergeCells count="2">
    <mergeCell ref="E4:E5"/>
    <mergeCell ref="E8:E9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workbookViewId="0">
      <selection activeCell="C11" sqref="C11"/>
    </sheetView>
  </sheetViews>
  <sheetFormatPr defaultColWidth="9" defaultRowHeight="14.4"/>
  <cols>
    <col min="2" max="2" width="37.3425925925926" style="1" customWidth="1"/>
    <col min="3" max="3" width="35.1111111111111" style="1" customWidth="1"/>
    <col min="4" max="4" width="26.5555555555556" style="1" customWidth="1"/>
    <col min="5" max="5" width="10.4444444444444" style="1" customWidth="1"/>
  </cols>
  <sheetData>
    <row r="1" spans="2:10">
      <c r="J1" s="2"/>
    </row>
    <row r="2" ht="21" spans="2:10">
      <c r="B2" s="3" t="s">
        <v>182</v>
      </c>
    </row>
    <row r="3" spans="2:10">
      <c r="C3" s="9"/>
    </row>
    <row r="4" ht="15.6" spans="2:10">
      <c r="B4" s="4" t="s">
        <v>183</v>
      </c>
      <c r="C4" s="4" t="s">
        <v>5</v>
      </c>
    </row>
    <row r="5" spans="2:10">
      <c r="B5" s="6" t="s">
        <v>184</v>
      </c>
      <c r="C5" s="30" t="str">
        <f t="shared" ref="C5:C11" si="0">TRIM(B5)</f>
        <v>Лучшее - враг хорошего</v>
      </c>
    </row>
    <row r="6" spans="2:10">
      <c r="B6" s="6" t="s">
        <v>185</v>
      </c>
      <c r="C6" s="30" t="str">
        <f t="shared" si="0"/>
        <v>Семь раз отмерь - один раз отрежь</v>
      </c>
    </row>
    <row r="7" spans="2:10">
      <c r="B7" s="6" t="s">
        <v>186</v>
      </c>
      <c r="C7" s="30" t="str">
        <f t="shared" si="0"/>
        <v>Слово - не воробей</v>
      </c>
    </row>
    <row r="8" spans="2:10">
      <c r="B8" s="6" t="s">
        <v>187</v>
      </c>
      <c r="C8" s="30" t="str">
        <f t="shared" si="0"/>
        <v>Сделал дело - гуляй смело</v>
      </c>
    </row>
    <row r="9" spans="2:10">
      <c r="B9" s="6" t="s">
        <v>188</v>
      </c>
      <c r="C9" s="30" t="str">
        <f t="shared" si="0"/>
        <v>Цыплят по осени считают</v>
      </c>
    </row>
    <row r="10" spans="2:10">
      <c r="B10" s="44" t="s">
        <v>189</v>
      </c>
      <c r="C10" s="30" t="str">
        <f t="shared" si="0"/>
        <v>Береги честь смолоду</v>
      </c>
    </row>
    <row r="11" spans="2:10">
      <c r="B11" s="44" t="s">
        <v>190</v>
      </c>
      <c r="C11" s="30" t="str">
        <f t="shared" si="0"/>
        <v>Семеро одного не ждут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E7" sqref="E7"/>
    </sheetView>
  </sheetViews>
  <sheetFormatPr defaultColWidth="9" defaultRowHeight="14.4"/>
  <cols>
    <col min="2" max="2" width="10.1111111111111" style="1" customWidth="1"/>
    <col min="3" max="3" width="28.2222222222222" style="1" customWidth="1"/>
    <col min="4" max="5" width="15.5555555555556" style="1" customWidth="1"/>
    <col min="6" max="6" width="5.44444444444444" style="1" customWidth="1"/>
    <col min="7" max="7" width="26.5555555555556" style="1" customWidth="1"/>
    <col min="8" max="8" width="10.4444444444444" style="1" customWidth="1"/>
  </cols>
  <sheetData>
    <row r="1" spans="2:10">
      <c r="J1" s="2"/>
    </row>
    <row r="2" ht="21" spans="2:10">
      <c r="B2" s="3" t="s">
        <v>191</v>
      </c>
      <c r="D2" s="28"/>
    </row>
    <row r="3" spans="2:10">
      <c r="D3" s="9"/>
      <c r="E3" s="9"/>
    </row>
    <row r="4" ht="31.2" spans="2:10">
      <c r="B4" s="4" t="s">
        <v>192</v>
      </c>
      <c r="C4" s="4" t="s">
        <v>183</v>
      </c>
      <c r="D4" s="41" t="s">
        <v>193</v>
      </c>
      <c r="E4" s="41" t="s">
        <v>194</v>
      </c>
    </row>
    <row r="5" spans="2:10">
      <c r="B5" s="6" t="s">
        <v>195</v>
      </c>
      <c r="C5" s="55" t="s">
        <v>196</v>
      </c>
      <c r="D5" s="30">
        <f t="shared" ref="D5:D15" si="0">SEARCH(B5,C5)</f>
        <v>1</v>
      </c>
      <c r="E5" s="30">
        <f t="shared" ref="E5:E15" si="1">FIND(B5,C5)</f>
        <v>1</v>
      </c>
      <c r="F5" s="9" t="s">
        <v>197</v>
      </c>
    </row>
    <row r="6" spans="2:10">
      <c r="B6" s="6" t="s">
        <v>198</v>
      </c>
      <c r="C6" s="17" t="s">
        <v>199</v>
      </c>
      <c r="D6" s="30">
        <f t="shared" si="0"/>
        <v>3</v>
      </c>
      <c r="E6" s="30">
        <f t="shared" si="1"/>
        <v>3</v>
      </c>
      <c r="F6" s="9" t="s">
        <v>200</v>
      </c>
    </row>
    <row r="7" spans="2:10">
      <c r="B7" s="6" t="s">
        <v>201</v>
      </c>
      <c r="C7" s="17" t="s">
        <v>202</v>
      </c>
      <c r="D7" s="30">
        <f t="shared" si="0"/>
        <v>6</v>
      </c>
      <c r="E7" s="30">
        <f t="shared" si="1"/>
        <v>6</v>
      </c>
      <c r="F7" s="9" t="s">
        <v>203</v>
      </c>
    </row>
    <row r="8" spans="2:10">
      <c r="B8" s="6" t="s">
        <v>204</v>
      </c>
      <c r="C8" s="55" t="s">
        <v>205</v>
      </c>
      <c r="D8" s="56">
        <f t="shared" si="0"/>
        <v>1</v>
      </c>
      <c r="E8" s="56">
        <f t="shared" si="1"/>
        <v>12</v>
      </c>
      <c r="F8" s="9" t="s">
        <v>206</v>
      </c>
    </row>
    <row r="9" spans="2:10">
      <c r="B9" s="6" t="s">
        <v>207</v>
      </c>
      <c r="C9" s="57" t="s">
        <v>208</v>
      </c>
      <c r="D9" s="30">
        <f t="shared" si="0"/>
        <v>1</v>
      </c>
      <c r="E9" s="30">
        <f t="shared" si="1"/>
        <v>1</v>
      </c>
      <c r="F9" s="9" t="s">
        <v>206</v>
      </c>
    </row>
    <row r="10" spans="2:10">
      <c r="B10" s="44" t="s">
        <v>198</v>
      </c>
      <c r="C10" s="17" t="s">
        <v>209</v>
      </c>
      <c r="D10" s="30" t="e">
        <f t="shared" si="0"/>
        <v>#VALUE!</v>
      </c>
      <c r="E10" s="30" t="e">
        <f t="shared" si="1"/>
        <v>#VALUE!</v>
      </c>
      <c r="F10" s="9" t="s">
        <v>210</v>
      </c>
    </row>
    <row r="11" spans="2:10">
      <c r="B11" s="44" t="s">
        <v>211</v>
      </c>
      <c r="C11" s="57" t="s">
        <v>212</v>
      </c>
      <c r="D11" s="56">
        <f t="shared" si="0"/>
        <v>1</v>
      </c>
      <c r="E11" s="56" t="e">
        <f t="shared" si="1"/>
        <v>#VALUE!</v>
      </c>
      <c r="F11" s="9" t="s">
        <v>213</v>
      </c>
    </row>
    <row r="12" spans="2:10">
      <c r="B12" s="6"/>
      <c r="C12" s="17" t="s">
        <v>209</v>
      </c>
      <c r="D12" s="30">
        <f t="shared" si="0"/>
        <v>1</v>
      </c>
      <c r="E12" s="30">
        <f t="shared" si="1"/>
        <v>1</v>
      </c>
      <c r="F12" s="9" t="s">
        <v>214</v>
      </c>
    </row>
    <row r="13" spans="2:10">
      <c r="B13" s="6" t="s">
        <v>215</v>
      </c>
      <c r="C13" s="17" t="s">
        <v>216</v>
      </c>
      <c r="D13" s="30">
        <f t="shared" si="0"/>
        <v>7</v>
      </c>
      <c r="E13" s="30">
        <f t="shared" si="1"/>
        <v>7</v>
      </c>
      <c r="F13" s="9" t="s">
        <v>217</v>
      </c>
    </row>
    <row r="14" spans="2:10">
      <c r="B14" s="6" t="s">
        <v>218</v>
      </c>
      <c r="C14" s="17" t="s">
        <v>219</v>
      </c>
      <c r="D14" s="30">
        <f t="shared" si="0"/>
        <v>4</v>
      </c>
      <c r="E14" s="30">
        <f t="shared" si="1"/>
        <v>4</v>
      </c>
      <c r="F14" s="9" t="s">
        <v>220</v>
      </c>
    </row>
    <row r="15" spans="2:10">
      <c r="B15" s="44">
        <v>3</v>
      </c>
      <c r="C15" s="6">
        <v>131111</v>
      </c>
      <c r="D15" s="30">
        <f t="shared" si="0"/>
        <v>2</v>
      </c>
      <c r="E15" s="30">
        <f t="shared" si="1"/>
        <v>2</v>
      </c>
      <c r="F15" s="9" t="s">
        <v>221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workbookViewId="0">
      <selection activeCell="C7" sqref="C7"/>
    </sheetView>
  </sheetViews>
  <sheetFormatPr defaultColWidth="9" defaultRowHeight="14.4" outlineLevelRow="7" outlineLevelCol="4"/>
  <cols>
    <col min="2" max="2" width="19.3333333333333" style="1" customWidth="1"/>
    <col min="3" max="3" width="15.7777777777778" style="1" customWidth="1"/>
    <col min="4" max="4" width="29.5555555555556" style="1" customWidth="1"/>
    <col min="5" max="5" width="25.2407407407407" style="1" customWidth="1"/>
    <col min="6" max="6" width="26.5555555555556" style="1" customWidth="1"/>
    <col min="7" max="7" width="10.4444444444444" style="1" customWidth="1"/>
  </cols>
  <sheetData>
    <row r="2" ht="21" spans="2:5">
      <c r="B2" s="28" t="s">
        <v>222</v>
      </c>
      <c r="C2" s="28"/>
      <c r="D2" s="3"/>
    </row>
    <row r="3" spans="2:5">
      <c r="D3" s="9"/>
    </row>
    <row r="4" ht="15.6" spans="2:5">
      <c r="B4" s="4" t="s">
        <v>223</v>
      </c>
      <c r="C4" s="4" t="s">
        <v>224</v>
      </c>
      <c r="D4" s="4" t="s">
        <v>11</v>
      </c>
      <c r="E4" s="4" t="s">
        <v>225</v>
      </c>
    </row>
    <row r="5" spans="2:5">
      <c r="B5" s="6" t="s">
        <v>226</v>
      </c>
      <c r="C5" s="23" t="str">
        <f>SUBSTITUTE(B5,"у","о")</f>
        <v>Стол</v>
      </c>
      <c r="D5" s="53" t="s">
        <v>227</v>
      </c>
      <c r="E5" s="17" t="s">
        <v>228</v>
      </c>
    </row>
    <row r="6" spans="2:5">
      <c r="B6" s="6" t="s">
        <v>229</v>
      </c>
      <c r="C6" s="23" t="str">
        <f>SUBSTITUTE(B6,"о","и",2)</f>
        <v>Помидор</v>
      </c>
      <c r="D6" s="53" t="s">
        <v>230</v>
      </c>
      <c r="E6" s="17" t="s">
        <v>231</v>
      </c>
    </row>
    <row r="7" spans="2:5">
      <c r="B7" s="6" t="s">
        <v>232</v>
      </c>
      <c r="C7" s="23" t="str">
        <f>SUBSTITUTE(B7,"кот","тигр")</f>
        <v>Кот, тигр</v>
      </c>
      <c r="D7" s="53" t="s">
        <v>233</v>
      </c>
      <c r="E7" s="17" t="s">
        <v>234</v>
      </c>
    </row>
    <row r="8" spans="2:5">
      <c r="B8" s="6" t="s">
        <v>235</v>
      </c>
      <c r="C8" s="23" t="str">
        <f>SUBSTITUTE(B8,"#","")</f>
        <v>1825</v>
      </c>
      <c r="D8" s="53" t="s">
        <v>236</v>
      </c>
      <c r="E8" s="17" t="s">
        <v>237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I35" sqref="I35"/>
    </sheetView>
  </sheetViews>
  <sheetFormatPr defaultColWidth="9" defaultRowHeight="14.4" outlineLevelCol="7"/>
  <cols>
    <col min="2" max="2" width="20" style="1" customWidth="1"/>
    <col min="3" max="3" width="20.3333333333333" style="1" customWidth="1"/>
    <col min="4" max="4" width="8" style="1" customWidth="1"/>
    <col min="6" max="6" width="11.2407407407407" style="1" customWidth="1"/>
    <col min="8" max="8" width="11.2407407407407" style="1" customWidth="1"/>
  </cols>
  <sheetData>
    <row r="2" ht="21" customHeight="1" spans="2:8">
      <c r="B2" s="3" t="s">
        <v>238</v>
      </c>
    </row>
    <row r="4" ht="15.6" spans="2:8">
      <c r="B4" s="4" t="s">
        <v>239</v>
      </c>
      <c r="C4" s="4" t="s">
        <v>240</v>
      </c>
    </row>
    <row r="5" spans="2:8">
      <c r="B5" s="33" t="s">
        <v>241</v>
      </c>
      <c r="C5" s="30" t="str">
        <f t="shared" ref="C5:C16" si="0">REPLACE(B5,5,4,"2026")</f>
        <v>ФГС-2026-01</v>
      </c>
      <c r="F5" s="54"/>
      <c r="H5" s="11"/>
    </row>
    <row r="6" spans="2:8">
      <c r="B6" s="33" t="s">
        <v>242</v>
      </c>
      <c r="C6" s="30" t="str">
        <f t="shared" si="0"/>
        <v>ФГС-2026-02</v>
      </c>
      <c r="H6" s="11"/>
    </row>
    <row r="7" spans="2:8">
      <c r="B7" s="33" t="s">
        <v>243</v>
      </c>
      <c r="C7" s="30" t="str">
        <f t="shared" si="0"/>
        <v>ФГС-2026-03</v>
      </c>
      <c r="H7" s="11"/>
    </row>
    <row r="8" spans="2:8">
      <c r="B8" s="33" t="s">
        <v>244</v>
      </c>
      <c r="C8" s="30" t="str">
        <f t="shared" si="0"/>
        <v>ААБ-2026-001</v>
      </c>
      <c r="H8" s="11"/>
    </row>
    <row r="9" spans="2:8">
      <c r="B9" s="33" t="s">
        <v>245</v>
      </c>
      <c r="C9" s="30" t="str">
        <f t="shared" si="0"/>
        <v>ААБ-2026-002</v>
      </c>
      <c r="H9" s="11"/>
    </row>
    <row r="10" spans="2:8">
      <c r="B10" s="33" t="s">
        <v>246</v>
      </c>
      <c r="C10" s="30" t="str">
        <f t="shared" si="0"/>
        <v>ААБ-2026-003</v>
      </c>
      <c r="H10" s="11"/>
    </row>
    <row r="11" spans="2:8">
      <c r="B11" s="33" t="s">
        <v>247</v>
      </c>
      <c r="C11" s="30" t="str">
        <f t="shared" si="0"/>
        <v>ААБ-2026-004</v>
      </c>
      <c r="H11" s="11"/>
    </row>
    <row r="12" spans="2:8">
      <c r="B12" s="33" t="s">
        <v>248</v>
      </c>
      <c r="C12" s="30" t="str">
        <f t="shared" si="0"/>
        <v>НАР-2026-875</v>
      </c>
      <c r="H12" s="11"/>
    </row>
    <row r="13" spans="2:8">
      <c r="B13" s="33" t="s">
        <v>249</v>
      </c>
      <c r="C13" s="30" t="str">
        <f t="shared" si="0"/>
        <v>НАР-2026-876</v>
      </c>
      <c r="H13" s="11"/>
    </row>
    <row r="14" spans="2:8">
      <c r="B14" s="33" t="s">
        <v>250</v>
      </c>
      <c r="C14" s="30" t="str">
        <f t="shared" si="0"/>
        <v>НАР-2026-877</v>
      </c>
    </row>
    <row r="15" spans="2:8">
      <c r="B15" s="33" t="s">
        <v>251</v>
      </c>
      <c r="C15" s="30" t="str">
        <f t="shared" si="0"/>
        <v>ПУИ-2026-003</v>
      </c>
    </row>
    <row r="16" spans="2:8">
      <c r="B16" s="33" t="s">
        <v>252</v>
      </c>
      <c r="C16" s="30" t="str">
        <f t="shared" si="0"/>
        <v>ПУИ-2026-004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F24" sqref="F24"/>
    </sheetView>
  </sheetViews>
  <sheetFormatPr defaultColWidth="9" defaultRowHeight="14.4" outlineLevelCol="4"/>
  <cols>
    <col min="2" max="2" width="19.3333333333333" style="1" customWidth="1"/>
    <col min="3" max="3" width="12.6666666666667" style="1" customWidth="1"/>
    <col min="4" max="4" width="19.6666666666667" style="1" customWidth="1"/>
    <col min="5" max="5" width="5.44444444444444" style="1" customWidth="1"/>
    <col min="6" max="6" width="26.5555555555556" style="1" customWidth="1"/>
    <col min="7" max="7" width="10.4444444444444" style="1" customWidth="1"/>
  </cols>
  <sheetData>
    <row r="2" ht="21" spans="2:5">
      <c r="B2" s="28" t="s">
        <v>253</v>
      </c>
      <c r="C2" s="28" t="s">
        <v>254</v>
      </c>
      <c r="D2" s="3"/>
    </row>
    <row r="3" spans="2:5">
      <c r="D3" s="9"/>
    </row>
    <row r="4" ht="15.6" spans="2:5">
      <c r="B4" s="4" t="s">
        <v>192</v>
      </c>
      <c r="C4" s="4" t="s">
        <v>5</v>
      </c>
      <c r="D4" s="4" t="s">
        <v>11</v>
      </c>
    </row>
    <row r="5" spans="2:5">
      <c r="B5" s="6" t="s">
        <v>255</v>
      </c>
      <c r="C5" s="23" t="str">
        <f>LEFT(B5)</f>
        <v>А</v>
      </c>
      <c r="D5" s="53" t="s">
        <v>256</v>
      </c>
      <c r="E5" s="9"/>
    </row>
    <row r="6" spans="2:5">
      <c r="B6" s="6" t="s">
        <v>255</v>
      </c>
      <c r="C6" s="23" t="str">
        <f>RIGHT(B6)</f>
        <v>В</v>
      </c>
      <c r="D6" s="53" t="s">
        <v>257</v>
      </c>
      <c r="E6" s="9"/>
    </row>
    <row r="7" spans="2:5">
      <c r="C7" s="48"/>
      <c r="E7" s="9"/>
    </row>
    <row r="8" spans="2:5">
      <c r="B8" s="6" t="s">
        <v>258</v>
      </c>
      <c r="C8" s="23" t="str">
        <f>LEFT(B8,4)</f>
        <v>Мама</v>
      </c>
      <c r="D8" s="53" t="s">
        <v>259</v>
      </c>
      <c r="E8" s="9"/>
    </row>
    <row r="9" spans="2:5">
      <c r="B9" s="6" t="s">
        <v>258</v>
      </c>
      <c r="C9" s="23" t="str">
        <f>RIGHT(B9,4)</f>
        <v>раму</v>
      </c>
      <c r="D9" s="53" t="s">
        <v>260</v>
      </c>
      <c r="E9" s="9"/>
    </row>
    <row r="10" spans="2:5">
      <c r="C10" s="48"/>
      <c r="E10" s="9"/>
    </row>
    <row r="11" spans="2:5">
      <c r="B11" s="44" t="s">
        <v>261</v>
      </c>
      <c r="C11" s="23" t="str">
        <f>LEFT(B11,3)</f>
        <v>909</v>
      </c>
      <c r="D11" s="53" t="s">
        <v>262</v>
      </c>
      <c r="E11" s="9"/>
    </row>
    <row r="12" spans="2:5">
      <c r="B12" s="44" t="s">
        <v>261</v>
      </c>
      <c r="C12" s="23" t="str">
        <f>RIGHT(B12,5)</f>
        <v>66-55</v>
      </c>
      <c r="D12" s="53" t="s">
        <v>263</v>
      </c>
      <c r="E12" s="9"/>
    </row>
    <row r="13" spans="2:5">
      <c r="C13" s="48"/>
    </row>
    <row r="14" spans="2:5">
      <c r="B14" s="13" t="s">
        <v>264</v>
      </c>
      <c r="C14" s="23" t="str">
        <f>LEFT(B14,4)</f>
        <v>7500</v>
      </c>
      <c r="D14" s="53" t="s">
        <v>265</v>
      </c>
    </row>
    <row r="15" spans="2:5">
      <c r="B15" s="13" t="s">
        <v>264</v>
      </c>
      <c r="C15" s="23" t="str">
        <f>RIGHT(B15,6)</f>
        <v>221155</v>
      </c>
      <c r="D15" s="53" t="s">
        <v>266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F35" sqref="F35"/>
    </sheetView>
  </sheetViews>
  <sheetFormatPr defaultColWidth="9" defaultRowHeight="14.4" outlineLevelCol="4"/>
  <cols>
    <col min="2" max="2" width="14.4444444444444" style="1" customWidth="1"/>
    <col min="3" max="3" width="21.3333333333333" style="1" customWidth="1"/>
    <col min="4" max="4" width="16.2407407407407" style="1" customWidth="1"/>
    <col min="5" max="5" width="26.5555555555556" style="1" customWidth="1"/>
    <col min="6" max="6" width="10.4444444444444" style="1" customWidth="1"/>
  </cols>
  <sheetData>
    <row r="2" ht="21" spans="2:5">
      <c r="B2" s="3" t="s">
        <v>267</v>
      </c>
      <c r="E2" s="51"/>
    </row>
    <row r="3" spans="2:5">
      <c r="C3" s="9"/>
    </row>
    <row r="4" ht="15.6" spans="2:5">
      <c r="B4" s="4" t="s">
        <v>183</v>
      </c>
      <c r="C4" s="4" t="s">
        <v>5</v>
      </c>
    </row>
    <row r="5" spans="2:5">
      <c r="B5" s="6" t="s">
        <v>268</v>
      </c>
      <c r="C5" s="30">
        <f t="shared" ref="C5:C15" si="0">LEN(B5)</f>
        <v>3</v>
      </c>
      <c r="D5" s="9" t="s">
        <v>269</v>
      </c>
    </row>
    <row r="6" spans="2:5">
      <c r="B6" s="6" t="s">
        <v>270</v>
      </c>
      <c r="C6" s="30">
        <f t="shared" si="0"/>
        <v>4</v>
      </c>
      <c r="D6" s="9" t="s">
        <v>271</v>
      </c>
    </row>
    <row r="7" spans="2:5">
      <c r="B7" s="6" t="s">
        <v>272</v>
      </c>
      <c r="C7" s="30">
        <f t="shared" si="0"/>
        <v>3</v>
      </c>
      <c r="D7" s="9" t="s">
        <v>273</v>
      </c>
    </row>
    <row r="8" spans="2:5">
      <c r="B8" s="6" t="s">
        <v>274</v>
      </c>
      <c r="C8" s="30">
        <f t="shared" si="0"/>
        <v>11</v>
      </c>
      <c r="D8" s="9" t="s">
        <v>275</v>
      </c>
    </row>
    <row r="9" spans="2:5">
      <c r="B9" s="6"/>
      <c r="C9" s="30">
        <f t="shared" si="0"/>
        <v>0</v>
      </c>
      <c r="D9" s="9" t="s">
        <v>276</v>
      </c>
    </row>
    <row r="10" spans="2:5">
      <c r="B10" s="44">
        <v>1000</v>
      </c>
      <c r="C10" s="30">
        <f t="shared" si="0"/>
        <v>4</v>
      </c>
      <c r="D10" s="9" t="s">
        <v>277</v>
      </c>
    </row>
    <row r="11" spans="2:5">
      <c r="B11" s="46">
        <v>1000</v>
      </c>
      <c r="C11" s="30">
        <f t="shared" si="0"/>
        <v>4</v>
      </c>
      <c r="D11" s="9" t="s">
        <v>278</v>
      </c>
    </row>
    <row r="12" spans="2:5">
      <c r="B12" s="33">
        <v>47112</v>
      </c>
      <c r="C12" s="30">
        <f t="shared" si="0"/>
        <v>5</v>
      </c>
      <c r="D12" s="9" t="s">
        <v>279</v>
      </c>
    </row>
    <row r="13" spans="2:5">
      <c r="B13" s="6">
        <v>106.99</v>
      </c>
      <c r="C13" s="30">
        <f t="shared" si="0"/>
        <v>6</v>
      </c>
      <c r="D13" s="9" t="s">
        <v>280</v>
      </c>
    </row>
    <row r="14" spans="2:5">
      <c r="B14" s="52">
        <v>3.14159265358979</v>
      </c>
      <c r="C14" s="30">
        <f t="shared" si="0"/>
        <v>16</v>
      </c>
      <c r="D14" s="9" t="s">
        <v>281</v>
      </c>
    </row>
    <row r="15" spans="2:5">
      <c r="B15" s="47">
        <v>-1.75</v>
      </c>
      <c r="C15" s="30">
        <f t="shared" si="0"/>
        <v>5</v>
      </c>
      <c r="D15" s="9" t="s">
        <v>282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workbookViewId="0">
      <selection activeCell="F35" sqref="F35"/>
    </sheetView>
  </sheetViews>
  <sheetFormatPr defaultColWidth="9" defaultRowHeight="14.4"/>
  <cols>
    <col min="2" max="3" width="12.4444444444444" style="1" customWidth="1"/>
    <col min="4" max="4" width="13.1111111111111" style="1" customWidth="1"/>
    <col min="5" max="5" width="29.3333333333333" style="1" customWidth="1"/>
  </cols>
  <sheetData>
    <row r="1" spans="2:9">
      <c r="I1" s="2"/>
    </row>
    <row r="2" ht="21" spans="2:9">
      <c r="B2" s="3" t="s">
        <v>283</v>
      </c>
      <c r="C2" s="35"/>
      <c r="D2" s="28"/>
      <c r="E2" s="36"/>
    </row>
    <row r="3" spans="2:9">
      <c r="D3" s="9"/>
      <c r="E3" s="9" t="s">
        <v>284</v>
      </c>
    </row>
    <row r="4" ht="15.6" spans="2:9">
      <c r="B4" s="4" t="s">
        <v>69</v>
      </c>
      <c r="C4" s="4" t="s">
        <v>70</v>
      </c>
      <c r="D4" s="4" t="s">
        <v>71</v>
      </c>
      <c r="E4" s="22" t="s">
        <v>285</v>
      </c>
    </row>
    <row r="5" spans="2:9">
      <c r="B5" s="6" t="s">
        <v>286</v>
      </c>
      <c r="C5" s="17" t="s">
        <v>287</v>
      </c>
      <c r="D5" s="47" t="s">
        <v>288</v>
      </c>
      <c r="E5" s="30" t="str">
        <f t="shared" ref="E5:E8" si="0">CONCATENATE(B5,", ",C5,", ",D5)</f>
        <v>А, Б, В</v>
      </c>
    </row>
    <row r="6" spans="2:9">
      <c r="B6" s="6">
        <v>1</v>
      </c>
      <c r="C6" s="6">
        <v>2</v>
      </c>
      <c r="D6" s="47">
        <v>3</v>
      </c>
      <c r="E6" s="30" t="str">
        <f t="shared" si="0"/>
        <v>1, 2, 3</v>
      </c>
    </row>
    <row r="7" spans="2:9">
      <c r="B7" s="6" t="s">
        <v>289</v>
      </c>
      <c r="C7" s="17" t="s">
        <v>290</v>
      </c>
      <c r="D7" s="47" t="s">
        <v>291</v>
      </c>
      <c r="E7" s="30" t="str">
        <f t="shared" si="0"/>
        <v>сливы, яблоки, груши</v>
      </c>
    </row>
    <row r="8" spans="2:9">
      <c r="B8" s="6" t="s">
        <v>292</v>
      </c>
      <c r="C8" s="17" t="s">
        <v>293</v>
      </c>
      <c r="D8" s="47" t="s">
        <v>294</v>
      </c>
      <c r="E8" s="30" t="str">
        <f t="shared" si="0"/>
        <v>красный, синий, зеленый</v>
      </c>
    </row>
    <row r="9" spans="2:9">
      <c r="E9" s="48"/>
    </row>
    <row r="10" spans="2:9">
      <c r="E10" s="49" t="s">
        <v>295</v>
      </c>
    </row>
    <row r="11" spans="2:9">
      <c r="B11" s="6" t="s">
        <v>292</v>
      </c>
      <c r="C11" s="17" t="s">
        <v>293</v>
      </c>
      <c r="D11" s="47"/>
      <c r="E11" s="30" t="str">
        <f>CONCATENATE(B11," и ",C11)</f>
        <v>красный и синий</v>
      </c>
    </row>
    <row r="12" spans="2:9">
      <c r="E12" s="48"/>
    </row>
    <row r="13" spans="2:9">
      <c r="E13" s="49" t="s">
        <v>296</v>
      </c>
    </row>
    <row r="14" ht="15.6" spans="2:9">
      <c r="B14" s="4" t="s">
        <v>297</v>
      </c>
      <c r="C14" s="4" t="s">
        <v>298</v>
      </c>
      <c r="D14" s="4" t="s">
        <v>299</v>
      </c>
      <c r="E14" s="50" t="s">
        <v>285</v>
      </c>
    </row>
    <row r="15" spans="2:9">
      <c r="B15" s="6" t="s">
        <v>300</v>
      </c>
      <c r="C15" s="17" t="s">
        <v>301</v>
      </c>
      <c r="D15" s="47" t="s">
        <v>302</v>
      </c>
      <c r="E15" s="30" t="str">
        <f>CONCATENATE(D15,", ",B15," ",C15)</f>
        <v>Уважаемый, Петр Петрович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workbookViewId="0">
      <selection activeCell="E8" sqref="E8"/>
    </sheetView>
  </sheetViews>
  <sheetFormatPr defaultColWidth="9" defaultRowHeight="14.4" outlineLevelCol="6"/>
  <cols>
    <col min="2" max="2" width="18.8888888888889" style="1" customWidth="1"/>
    <col min="3" max="3" width="16.4444444444444" style="1" customWidth="1"/>
    <col min="4" max="4" width="15.3333333333333" style="1" customWidth="1"/>
    <col min="5" max="5" width="16.7685185185185" style="1" customWidth="1"/>
    <col min="6" max="6" width="5.44444444444444" style="1" customWidth="1"/>
    <col min="7" max="7" width="19.6666666666667" style="1" customWidth="1"/>
    <col min="8" max="8" width="10.4444444444444" style="1" customWidth="1"/>
  </cols>
  <sheetData>
    <row r="2" ht="21" spans="2:7">
      <c r="B2" s="3" t="s">
        <v>303</v>
      </c>
      <c r="C2" s="28" t="s">
        <v>304</v>
      </c>
      <c r="D2" s="36"/>
      <c r="E2" s="36" t="s">
        <v>305</v>
      </c>
    </row>
    <row r="3" spans="2:7">
      <c r="D3" s="9"/>
      <c r="E3" s="9"/>
    </row>
    <row r="4" ht="15.6" spans="2:7">
      <c r="B4" s="4" t="s">
        <v>116</v>
      </c>
      <c r="C4" s="4" t="s">
        <v>303</v>
      </c>
      <c r="D4" s="4" t="s">
        <v>304</v>
      </c>
      <c r="E4" s="22" t="s">
        <v>306</v>
      </c>
    </row>
    <row r="5" spans="2:7">
      <c r="B5" s="6" t="s">
        <v>307</v>
      </c>
      <c r="C5" s="23" t="str">
        <f t="shared" ref="C5:C13" si="0">LOWER(B5)</f>
        <v>книга</v>
      </c>
      <c r="D5" s="45" t="str">
        <f t="shared" ref="D5:D13" si="1">PROPER(B5)</f>
        <v>Книга</v>
      </c>
      <c r="E5" s="30" t="str">
        <f t="shared" ref="E5:E13" si="2">UPPER(B5)</f>
        <v>КНИГА</v>
      </c>
    </row>
    <row r="6" spans="2:7">
      <c r="B6" s="6" t="s">
        <v>308</v>
      </c>
      <c r="C6" s="23" t="str">
        <f t="shared" si="0"/>
        <v>книга</v>
      </c>
      <c r="D6" s="45" t="str">
        <f t="shared" si="1"/>
        <v>Книга</v>
      </c>
      <c r="E6" s="30" t="str">
        <f t="shared" si="2"/>
        <v>КНИГА</v>
      </c>
    </row>
    <row r="7" spans="2:7">
      <c r="B7" s="6" t="s">
        <v>309</v>
      </c>
      <c r="C7" s="23" t="str">
        <f t="shared" si="0"/>
        <v>а.с. пушкин</v>
      </c>
      <c r="D7" s="45" t="str">
        <f t="shared" si="1"/>
        <v>А.С. Пушкин</v>
      </c>
      <c r="E7" s="30" t="str">
        <f t="shared" si="2"/>
        <v>А.С. ПУШКИН</v>
      </c>
    </row>
    <row r="8" spans="2:7">
      <c r="B8" s="6" t="s">
        <v>310</v>
      </c>
      <c r="C8" s="23" t="str">
        <f t="shared" si="0"/>
        <v>яблоки, груши</v>
      </c>
      <c r="D8" s="45" t="str">
        <f t="shared" si="1"/>
        <v>Яблоки, Груши</v>
      </c>
      <c r="E8" s="30" t="str">
        <f t="shared" si="2"/>
        <v>ЯБЛОКИ, ГРУШИ</v>
      </c>
    </row>
    <row r="9" spans="2:7">
      <c r="B9" s="6" t="s">
        <v>311</v>
      </c>
      <c r="C9" s="23" t="str">
        <f t="shared" si="0"/>
        <v>ик-0002536</v>
      </c>
      <c r="D9" s="45" t="str">
        <f t="shared" si="1"/>
        <v>Ик-0002536</v>
      </c>
      <c r="E9" s="30" t="str">
        <f t="shared" si="2"/>
        <v>ИК-0002536</v>
      </c>
    </row>
    <row r="10" spans="2:7">
      <c r="B10" s="6" t="s">
        <v>312</v>
      </c>
      <c r="C10" s="23" t="str">
        <f t="shared" si="0"/>
        <v>ик-0002536-чб</v>
      </c>
      <c r="D10" s="45" t="str">
        <f t="shared" si="1"/>
        <v>Ик-0002536-Чб</v>
      </c>
      <c r="E10" s="30" t="str">
        <f t="shared" si="2"/>
        <v>ИК-0002536-ЧБ</v>
      </c>
      <c r="F10" s="9"/>
    </row>
    <row r="11" spans="2:7">
      <c r="B11" s="6">
        <v>12345</v>
      </c>
      <c r="C11" s="23" t="str">
        <f t="shared" si="0"/>
        <v>12345</v>
      </c>
      <c r="D11" s="45" t="str">
        <f t="shared" si="1"/>
        <v>12345</v>
      </c>
      <c r="E11" s="30" t="str">
        <f t="shared" si="2"/>
        <v>12345</v>
      </c>
      <c r="F11" s="9" t="s">
        <v>313</v>
      </c>
    </row>
    <row r="12" spans="2:7">
      <c r="B12" s="46">
        <v>10000</v>
      </c>
      <c r="C12" s="23" t="str">
        <f t="shared" si="0"/>
        <v>10000</v>
      </c>
      <c r="D12" s="45" t="str">
        <f t="shared" si="1"/>
        <v>10000</v>
      </c>
      <c r="E12" s="30" t="str">
        <f t="shared" si="2"/>
        <v>10000</v>
      </c>
      <c r="F12" s="9" t="s">
        <v>314</v>
      </c>
      <c r="G12" s="9"/>
    </row>
    <row r="13" spans="2:7">
      <c r="B13" s="33">
        <v>47112</v>
      </c>
      <c r="C13" s="23" t="str">
        <f t="shared" si="0"/>
        <v>47112</v>
      </c>
      <c r="D13" s="45" t="str">
        <f t="shared" si="1"/>
        <v>47112</v>
      </c>
      <c r="E13" s="30" t="str">
        <f t="shared" si="2"/>
        <v>47112</v>
      </c>
      <c r="F13" s="9" t="s">
        <v>314</v>
      </c>
      <c r="G13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5" sqref="G5"/>
    </sheetView>
  </sheetViews>
  <sheetFormatPr defaultColWidth="9" defaultRowHeight="14.4"/>
  <cols>
    <col min="2" max="2" width="11.2407407407407" style="1" customWidth="1"/>
    <col min="3" max="4" width="13.3425925925926" style="1" customWidth="1"/>
    <col min="5" max="5" width="4" style="1" customWidth="1"/>
    <col min="6" max="6" width="12" style="1" customWidth="1"/>
  </cols>
  <sheetData>
    <row r="1" spans="1:10">
      <c r="J1" s="2"/>
    </row>
    <row r="2" ht="21" spans="1:10">
      <c r="B2" s="3" t="s">
        <v>315</v>
      </c>
      <c r="C2" s="3"/>
      <c r="D2" s="28" t="s">
        <v>316</v>
      </c>
    </row>
    <row r="4" ht="31.2" spans="1:10">
      <c r="B4" s="4" t="s">
        <v>317</v>
      </c>
      <c r="C4" s="41" t="s">
        <v>318</v>
      </c>
      <c r="D4" s="41" t="s">
        <v>319</v>
      </c>
      <c r="G4" s="15" t="s">
        <v>320</v>
      </c>
    </row>
    <row r="5" spans="1:10">
      <c r="B5" s="6" t="s">
        <v>111</v>
      </c>
      <c r="C5" s="42" t="str">
        <f t="shared" ref="C5:C15" si="0">IF(COUNT(B5)&gt;0,"да","")</f>
        <v/>
      </c>
      <c r="D5" s="6" t="str">
        <f t="shared" ref="D5:D15" si="1">IF(COUNTA(B5)&gt;0,"да","")</f>
        <v>да</v>
      </c>
      <c r="E5" s="9" t="s">
        <v>321</v>
      </c>
      <c r="G5" s="43">
        <f>COUNT(B5:B15)</f>
        <v>6</v>
      </c>
    </row>
    <row r="6" spans="1:10">
      <c r="B6" s="6">
        <v>18</v>
      </c>
      <c r="C6" s="42" t="str">
        <f t="shared" si="0"/>
        <v>да</v>
      </c>
      <c r="D6" s="6" t="str">
        <f t="shared" si="1"/>
        <v>да</v>
      </c>
      <c r="E6" s="9" t="s">
        <v>322</v>
      </c>
    </row>
    <row r="7" ht="15.6" spans="1:10">
      <c r="A7" s="31"/>
      <c r="B7" s="32">
        <v>0.73</v>
      </c>
      <c r="C7" s="42" t="str">
        <f t="shared" si="0"/>
        <v>да</v>
      </c>
      <c r="D7" s="6" t="str">
        <f t="shared" si="1"/>
        <v>да</v>
      </c>
      <c r="E7" s="9" t="s">
        <v>323</v>
      </c>
      <c r="G7" s="15" t="s">
        <v>316</v>
      </c>
    </row>
    <row r="8" ht="15.6" spans="1:10">
      <c r="A8" s="31"/>
      <c r="B8" s="6">
        <v>4.4</v>
      </c>
      <c r="C8" s="42" t="str">
        <f t="shared" si="0"/>
        <v>да</v>
      </c>
      <c r="D8" s="6" t="str">
        <f t="shared" si="1"/>
        <v>да</v>
      </c>
      <c r="E8" s="9" t="s">
        <v>324</v>
      </c>
      <c r="G8" s="43">
        <f>COUNTA(B5:B15)</f>
        <v>10</v>
      </c>
    </row>
    <row r="9" ht="15.6" spans="1:10">
      <c r="A9" s="31"/>
      <c r="B9" s="44">
        <v>-1</v>
      </c>
      <c r="C9" s="42" t="str">
        <f t="shared" si="0"/>
        <v>да</v>
      </c>
      <c r="D9" s="6" t="str">
        <f t="shared" si="1"/>
        <v>да</v>
      </c>
      <c r="E9" s="9" t="s">
        <v>76</v>
      </c>
      <c r="G9" s="9"/>
    </row>
    <row r="10" ht="15.6" spans="1:10">
      <c r="A10" s="31"/>
      <c r="B10" s="6" t="s">
        <v>325</v>
      </c>
      <c r="C10" s="42" t="str">
        <f t="shared" si="0"/>
        <v/>
      </c>
      <c r="D10" s="6" t="str">
        <f t="shared" si="1"/>
        <v>да</v>
      </c>
      <c r="E10" s="9" t="s">
        <v>326</v>
      </c>
      <c r="G10" s="9"/>
    </row>
    <row r="11" ht="15.6" spans="1:10">
      <c r="A11" s="31"/>
      <c r="B11" s="44"/>
      <c r="C11" s="42" t="str">
        <f t="shared" si="0"/>
        <v/>
      </c>
      <c r="D11" s="6" t="str">
        <f t="shared" si="1"/>
        <v/>
      </c>
      <c r="E11" s="9" t="s">
        <v>327</v>
      </c>
      <c r="I11" s="9"/>
    </row>
    <row r="12" ht="15.6" spans="1:10">
      <c r="A12" s="31"/>
      <c r="B12" s="33">
        <v>46798</v>
      </c>
      <c r="C12" s="42" t="str">
        <f t="shared" si="0"/>
        <v>да</v>
      </c>
      <c r="D12" s="6" t="str">
        <f t="shared" si="1"/>
        <v>да</v>
      </c>
      <c r="E12" s="9" t="s">
        <v>328</v>
      </c>
      <c r="G12" s="9"/>
    </row>
    <row r="13" ht="15.6" spans="1:10">
      <c r="A13" s="31"/>
      <c r="B13" s="37">
        <v>0.763888888888889</v>
      </c>
      <c r="C13" s="42" t="str">
        <f t="shared" si="0"/>
        <v>да</v>
      </c>
      <c r="D13" s="6" t="str">
        <f t="shared" si="1"/>
        <v>да</v>
      </c>
      <c r="E13" s="9" t="s">
        <v>329</v>
      </c>
      <c r="G13" s="9"/>
    </row>
    <row r="14" spans="1:10">
      <c r="B14" s="6" t="str">
        <f>"0024"</f>
        <v>0024</v>
      </c>
      <c r="C14" s="42" t="str">
        <f t="shared" si="0"/>
        <v/>
      </c>
      <c r="D14" s="6" t="str">
        <f t="shared" si="1"/>
        <v>да</v>
      </c>
      <c r="E14" s="9" t="s">
        <v>330</v>
      </c>
    </row>
    <row r="15" spans="1:10">
      <c r="B15" s="6" t="e">
        <f>VLOOKUP(B14,B5:B6,1,0)</f>
        <v>#N/A</v>
      </c>
      <c r="C15" s="42" t="str">
        <f t="shared" si="0"/>
        <v/>
      </c>
      <c r="D15" s="6" t="str">
        <f t="shared" si="1"/>
        <v>да</v>
      </c>
      <c r="E15" s="9" t="s">
        <v>331</v>
      </c>
    </row>
  </sheetData>
  <conditionalFormatting sqref="C5:D15">
    <cfRule type="cellIs" dxfId="0" priority="2" operator="equal">
      <formula>""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D9" sqref="D9"/>
    </sheetView>
  </sheetViews>
  <sheetFormatPr defaultColWidth="9" defaultRowHeight="14.4" outlineLevelCol="4"/>
  <cols>
    <col min="2" max="2" width="14" style="1" customWidth="1"/>
    <col min="3" max="3" width="9.33333333333333" style="1" customWidth="1"/>
    <col min="4" max="4" width="17.4444444444444" style="1" customWidth="1"/>
  </cols>
  <sheetData>
    <row r="2" ht="21" spans="1:5">
      <c r="B2" s="3" t="s">
        <v>332</v>
      </c>
      <c r="D2" s="36"/>
    </row>
    <row r="3" spans="1:5">
      <c r="D3" s="9"/>
    </row>
    <row r="4" ht="15" customHeight="1" spans="1:5">
      <c r="B4" s="4" t="s">
        <v>317</v>
      </c>
      <c r="D4" s="38" t="s">
        <v>333</v>
      </c>
    </row>
    <row r="5" spans="1:5">
      <c r="B5" s="6" t="s">
        <v>334</v>
      </c>
      <c r="D5" s="38"/>
      <c r="E5" s="9"/>
    </row>
    <row r="6" spans="1:5">
      <c r="B6" s="6" t="s">
        <v>335</v>
      </c>
      <c r="D6" s="30">
        <f>COUNTBLANK(B5:B15)</f>
        <v>3</v>
      </c>
      <c r="E6" s="9"/>
    </row>
    <row r="7" ht="15.6" spans="1:5">
      <c r="A7" s="31"/>
      <c r="B7" s="6">
        <v>100</v>
      </c>
      <c r="E7" s="9"/>
    </row>
    <row r="8" ht="15.6" spans="1:5">
      <c r="A8" s="5">
        <v>1</v>
      </c>
      <c r="B8" s="32"/>
      <c r="C8" s="9" t="s">
        <v>327</v>
      </c>
    </row>
    <row r="9" ht="15.6" spans="1:5">
      <c r="A9" s="5"/>
      <c r="B9" s="39">
        <v>0.3</v>
      </c>
      <c r="C9" s="9"/>
    </row>
    <row r="10" ht="15.6" spans="1:5">
      <c r="A10" s="5">
        <v>2</v>
      </c>
      <c r="B10" s="33"/>
      <c r="C10" s="9" t="s">
        <v>327</v>
      </c>
    </row>
    <row r="11" ht="15.6" spans="1:5">
      <c r="A11" s="5"/>
      <c r="B11" s="6">
        <v>0.5</v>
      </c>
      <c r="C11" s="9"/>
    </row>
    <row r="12" ht="15.6" spans="1:5">
      <c r="A12" s="5"/>
      <c r="B12" s="33" t="s">
        <v>336</v>
      </c>
      <c r="C12" s="9" t="s">
        <v>337</v>
      </c>
      <c r="E12" s="9"/>
    </row>
    <row r="13" ht="15.6" spans="1:5">
      <c r="A13" s="5">
        <v>3</v>
      </c>
      <c r="B13" s="34" t="str">
        <f>""</f>
        <v/>
      </c>
      <c r="C13" s="9" t="s">
        <v>338</v>
      </c>
      <c r="E13" s="9"/>
    </row>
    <row r="14" spans="1:5">
      <c r="A14" s="40"/>
      <c r="B14" s="33">
        <v>47044</v>
      </c>
    </row>
    <row r="15" spans="1:5">
      <c r="A15" s="40"/>
      <c r="B15" s="6" t="e">
        <f>VLOOKUP(B11,B6:B8,1,0)</f>
        <v>#N/A</v>
      </c>
    </row>
  </sheetData>
  <mergeCells count="1">
    <mergeCell ref="D4:D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D11" sqref="D11"/>
    </sheetView>
  </sheetViews>
  <sheetFormatPr defaultColWidth="9" defaultRowHeight="14.4"/>
  <cols>
    <col min="2" max="2" width="14" style="1" customWidth="1"/>
    <col min="3" max="5" width="13.7592592592593" style="1" customWidth="1"/>
    <col min="6" max="6" width="11.2407407407407" style="1" customWidth="1"/>
    <col min="8" max="8" width="11.2407407407407" style="1" customWidth="1"/>
  </cols>
  <sheetData>
    <row r="1" spans="2:10">
      <c r="J1" s="2"/>
    </row>
    <row r="2" ht="21" spans="2:10">
      <c r="B2" s="3" t="s">
        <v>339</v>
      </c>
      <c r="C2" s="35" t="s">
        <v>340</v>
      </c>
      <c r="D2" s="36" t="s">
        <v>341</v>
      </c>
    </row>
    <row r="3" spans="2:10">
      <c r="C3" s="9"/>
      <c r="D3" s="9"/>
      <c r="E3" s="9"/>
    </row>
    <row r="4" ht="15.6" spans="2:10">
      <c r="B4" s="4" t="s">
        <v>317</v>
      </c>
      <c r="C4" s="4" t="s">
        <v>339</v>
      </c>
      <c r="D4" s="4" t="s">
        <v>340</v>
      </c>
      <c r="E4" s="4" t="s">
        <v>341</v>
      </c>
    </row>
    <row r="5" spans="2:10">
      <c r="B5" s="33" t="s">
        <v>334</v>
      </c>
      <c r="C5" s="30" t="b">
        <f t="shared" ref="C5:C14" si="0">ISBLANK(B5)</f>
        <v>0</v>
      </c>
      <c r="D5" s="30" t="b">
        <f t="shared" ref="D5:D14" si="1">ISTEXT(B5)</f>
        <v>1</v>
      </c>
      <c r="E5" s="30" t="b">
        <f t="shared" ref="E5:E14" si="2">ISNUMBER(B5)</f>
        <v>0</v>
      </c>
      <c r="F5" s="9" t="s">
        <v>342</v>
      </c>
      <c r="H5" s="11"/>
    </row>
    <row r="6" spans="2:10">
      <c r="B6" s="33"/>
      <c r="C6" s="30" t="b">
        <f t="shared" si="0"/>
        <v>1</v>
      </c>
      <c r="D6" s="30" t="b">
        <f t="shared" si="1"/>
        <v>0</v>
      </c>
      <c r="E6" s="30" t="b">
        <f t="shared" si="2"/>
        <v>0</v>
      </c>
      <c r="F6" s="9" t="s">
        <v>343</v>
      </c>
      <c r="H6" s="11"/>
    </row>
    <row r="7" spans="2:10">
      <c r="B7" s="33" t="s">
        <v>336</v>
      </c>
      <c r="C7" s="30" t="b">
        <f t="shared" si="0"/>
        <v>0</v>
      </c>
      <c r="D7" s="30" t="b">
        <f t="shared" si="1"/>
        <v>1</v>
      </c>
      <c r="E7" s="30" t="b">
        <f t="shared" si="2"/>
        <v>0</v>
      </c>
      <c r="F7" s="9" t="s">
        <v>344</v>
      </c>
      <c r="H7" s="11"/>
    </row>
    <row r="8" spans="2:10">
      <c r="B8" s="13" t="str">
        <f>IF($C$5=FALSE(),"",1)</f>
        <v/>
      </c>
      <c r="C8" s="30" t="b">
        <f t="shared" si="0"/>
        <v>0</v>
      </c>
      <c r="D8" s="30" t="b">
        <f t="shared" si="1"/>
        <v>1</v>
      </c>
      <c r="E8" s="30" t="b">
        <f t="shared" si="2"/>
        <v>0</v>
      </c>
      <c r="F8" s="9" t="s">
        <v>345</v>
      </c>
      <c r="H8" s="11"/>
    </row>
    <row r="9" spans="2:10">
      <c r="B9" s="13">
        <v>100</v>
      </c>
      <c r="C9" s="30" t="b">
        <f t="shared" si="0"/>
        <v>0</v>
      </c>
      <c r="D9" s="30" t="b">
        <f t="shared" si="1"/>
        <v>0</v>
      </c>
      <c r="E9" s="30" t="b">
        <f t="shared" si="2"/>
        <v>1</v>
      </c>
      <c r="F9" s="9" t="s">
        <v>346</v>
      </c>
      <c r="H9" s="11"/>
    </row>
    <row r="10" spans="2:10">
      <c r="B10" s="33" t="s">
        <v>347</v>
      </c>
      <c r="C10" s="30" t="b">
        <f t="shared" si="0"/>
        <v>0</v>
      </c>
      <c r="D10" s="30" t="b">
        <f t="shared" si="1"/>
        <v>1</v>
      </c>
      <c r="E10" s="30" t="b">
        <f t="shared" si="2"/>
        <v>0</v>
      </c>
      <c r="F10" s="9" t="s">
        <v>348</v>
      </c>
      <c r="H10" s="11"/>
    </row>
    <row r="11" spans="2:10">
      <c r="B11" s="33">
        <v>45657</v>
      </c>
      <c r="C11" s="30" t="b">
        <f t="shared" si="0"/>
        <v>0</v>
      </c>
      <c r="D11" s="30" t="b">
        <f t="shared" si="1"/>
        <v>0</v>
      </c>
      <c r="E11" s="30" t="b">
        <f t="shared" si="2"/>
        <v>1</v>
      </c>
      <c r="F11" s="9" t="s">
        <v>349</v>
      </c>
      <c r="H11" s="11"/>
    </row>
    <row r="12" spans="2:10">
      <c r="B12" s="37">
        <v>0.396041666666667</v>
      </c>
      <c r="C12" s="30" t="b">
        <f t="shared" si="0"/>
        <v>0</v>
      </c>
      <c r="D12" s="30" t="b">
        <f t="shared" si="1"/>
        <v>0</v>
      </c>
      <c r="E12" s="30" t="b">
        <f t="shared" si="2"/>
        <v>1</v>
      </c>
      <c r="F12" s="9" t="s">
        <v>350</v>
      </c>
      <c r="H12" s="11"/>
    </row>
    <row r="13" spans="2:10">
      <c r="B13" s="33" t="e">
        <f>VLOOKUP("утюг",$B$5:$B$8,1,0)</f>
        <v>#N/A</v>
      </c>
      <c r="C13" s="30" t="b">
        <f t="shared" si="0"/>
        <v>0</v>
      </c>
      <c r="D13" s="30" t="b">
        <f t="shared" si="1"/>
        <v>0</v>
      </c>
      <c r="E13" s="30" t="b">
        <f t="shared" si="2"/>
        <v>0</v>
      </c>
      <c r="F13" s="9" t="s">
        <v>351</v>
      </c>
      <c r="H13" s="11"/>
    </row>
    <row r="14" spans="2:10">
      <c r="B14" s="33" t="e">
        <f>6/0</f>
        <v>#DIV/0!</v>
      </c>
      <c r="C14" s="30" t="b">
        <f t="shared" si="0"/>
        <v>0</v>
      </c>
      <c r="D14" s="30" t="b">
        <f t="shared" si="1"/>
        <v>0</v>
      </c>
      <c r="E14" s="30" t="b">
        <f t="shared" si="2"/>
        <v>0</v>
      </c>
      <c r="F14" s="9" t="s">
        <v>351</v>
      </c>
    </row>
  </sheetData>
  <conditionalFormatting sqref="C5:E14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37" sqref="D37"/>
    </sheetView>
  </sheetViews>
  <sheetFormatPr defaultColWidth="9" defaultRowHeight="14.4"/>
  <cols>
    <col min="2" max="3" width="11.2407407407407" style="1" customWidth="1"/>
    <col min="4" max="5" width="6.44444444444444" style="1" customWidth="1"/>
    <col min="6" max="6" width="17.4444444444444" style="1" customWidth="1"/>
  </cols>
  <sheetData>
    <row r="1" spans="1:10">
      <c r="J1" s="2"/>
    </row>
    <row r="2" ht="21" spans="1:10">
      <c r="B2" s="3" t="s">
        <v>352</v>
      </c>
      <c r="C2" s="3"/>
      <c r="F2" s="28" t="s">
        <v>353</v>
      </c>
    </row>
    <row r="3" spans="1:10">
      <c r="F3" s="9"/>
    </row>
    <row r="4" ht="15" customHeight="1" spans="1:10">
      <c r="B4" s="4" t="s">
        <v>167</v>
      </c>
      <c r="C4" s="4" t="s">
        <v>168</v>
      </c>
      <c r="E4" s="29" t="s">
        <v>354</v>
      </c>
      <c r="F4" s="29" t="s">
        <v>355</v>
      </c>
    </row>
    <row r="5" spans="1:10">
      <c r="B5" s="6" t="s">
        <v>170</v>
      </c>
      <c r="C5" s="6">
        <v>58</v>
      </c>
      <c r="E5" s="29"/>
      <c r="F5" s="29"/>
      <c r="G5" s="9"/>
    </row>
    <row r="6" spans="1:10">
      <c r="B6" s="6" t="s">
        <v>171</v>
      </c>
      <c r="C6" s="6">
        <v>30</v>
      </c>
      <c r="E6" s="6">
        <v>1</v>
      </c>
      <c r="F6" s="30">
        <f>LARGE(C5:C15,E6)</f>
        <v>96</v>
      </c>
      <c r="G6" s="9"/>
    </row>
    <row r="7" ht="15.6" spans="1:10">
      <c r="A7" s="31"/>
      <c r="B7" s="6" t="s">
        <v>172</v>
      </c>
      <c r="C7" s="6">
        <v>37</v>
      </c>
      <c r="E7" s="6">
        <v>2</v>
      </c>
      <c r="F7" s="30">
        <f>LARGE(C5:C15,E7)</f>
        <v>89</v>
      </c>
      <c r="G7" s="9"/>
    </row>
    <row r="8" ht="15.6" spans="1:10">
      <c r="A8" s="31"/>
      <c r="B8" s="32" t="s">
        <v>173</v>
      </c>
      <c r="C8" s="6">
        <v>96</v>
      </c>
      <c r="E8" s="6">
        <v>3</v>
      </c>
      <c r="F8" s="30">
        <f>LARGE(C5:C15,E8)</f>
        <v>84</v>
      </c>
      <c r="G8" s="9"/>
    </row>
    <row r="9" ht="15.6" spans="1:10">
      <c r="A9" s="31"/>
      <c r="B9" s="33" t="s">
        <v>175</v>
      </c>
      <c r="C9" s="6">
        <v>84</v>
      </c>
      <c r="G9" s="9"/>
    </row>
    <row r="10" ht="15.6" spans="1:10">
      <c r="A10" s="31"/>
      <c r="B10" s="33" t="s">
        <v>176</v>
      </c>
      <c r="C10" s="6">
        <v>89</v>
      </c>
      <c r="G10" s="9"/>
    </row>
    <row r="11" ht="15" customHeight="1" spans="1:10">
      <c r="A11" s="31"/>
      <c r="B11" s="33" t="s">
        <v>177</v>
      </c>
      <c r="C11" s="6">
        <v>70</v>
      </c>
      <c r="D11" s="9"/>
      <c r="E11" s="29" t="s">
        <v>354</v>
      </c>
      <c r="F11" s="29" t="s">
        <v>356</v>
      </c>
    </row>
    <row r="12" ht="15.6" spans="1:10">
      <c r="A12" s="31"/>
      <c r="B12" s="33" t="s">
        <v>178</v>
      </c>
      <c r="C12" s="6">
        <v>24</v>
      </c>
      <c r="D12" s="9"/>
      <c r="E12" s="29"/>
      <c r="F12" s="29"/>
      <c r="G12" s="9"/>
    </row>
    <row r="13" ht="15.6" spans="1:10">
      <c r="A13" s="31"/>
      <c r="B13" s="34" t="s">
        <v>179</v>
      </c>
      <c r="C13" s="6">
        <v>62</v>
      </c>
      <c r="D13" s="9"/>
      <c r="E13" s="6">
        <v>1</v>
      </c>
      <c r="F13" s="30">
        <f>SMALL(C5:C15,E13)</f>
        <v>24</v>
      </c>
      <c r="G13" s="9"/>
    </row>
    <row r="14" spans="1:10">
      <c r="B14" s="6" t="s">
        <v>180</v>
      </c>
      <c r="C14" s="6">
        <v>78</v>
      </c>
      <c r="D14" s="9"/>
      <c r="E14" s="6">
        <v>2</v>
      </c>
      <c r="F14" s="30">
        <f>SMALL(C5:C15,E14)</f>
        <v>30</v>
      </c>
    </row>
    <row r="15" spans="1:10">
      <c r="B15" s="6" t="s">
        <v>181</v>
      </c>
      <c r="C15" s="6">
        <v>72</v>
      </c>
      <c r="E15" s="6">
        <v>3</v>
      </c>
      <c r="F15" s="30">
        <f>SMALL(C5:C15,E15)</f>
        <v>37</v>
      </c>
    </row>
  </sheetData>
  <mergeCells count="4">
    <mergeCell ref="E4:E5"/>
    <mergeCell ref="E11:E12"/>
    <mergeCell ref="F4:F5"/>
    <mergeCell ref="F11:F12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21" sqref="H21"/>
    </sheetView>
  </sheetViews>
  <sheetFormatPr defaultColWidth="9" defaultRowHeight="14.4"/>
  <cols>
    <col min="2" max="2" width="14.5555555555556" style="1" customWidth="1"/>
    <col min="3" max="3" width="19.5555555555556" style="1" customWidth="1"/>
    <col min="4" max="4" width="16.8888888888889" style="1" customWidth="1"/>
    <col min="5" max="5" width="15.6574074074074" style="1" customWidth="1"/>
    <col min="7" max="7" width="16.2407407407407" style="1" customWidth="1"/>
    <col min="8" max="8" width="18" style="1" customWidth="1"/>
  </cols>
  <sheetData>
    <row r="1" spans="2:10">
      <c r="J1" s="2"/>
    </row>
    <row r="2" ht="21" customHeight="1" spans="2:10">
      <c r="B2" s="3" t="s">
        <v>357</v>
      </c>
    </row>
    <row r="3" spans="2:10">
      <c r="B3" s="12">
        <v>1</v>
      </c>
      <c r="C3" s="12">
        <v>2</v>
      </c>
      <c r="D3" s="12">
        <v>3</v>
      </c>
      <c r="E3" s="12">
        <v>4</v>
      </c>
    </row>
    <row r="4" ht="15.6" spans="2:10">
      <c r="B4" s="4" t="s">
        <v>358</v>
      </c>
      <c r="C4" s="4" t="s">
        <v>359</v>
      </c>
      <c r="D4" s="4" t="s">
        <v>360</v>
      </c>
      <c r="E4" s="25" t="s">
        <v>361</v>
      </c>
      <c r="G4" s="15" t="s">
        <v>358</v>
      </c>
      <c r="H4" s="16" t="s">
        <v>361</v>
      </c>
    </row>
    <row r="5" spans="2:10">
      <c r="B5" s="26">
        <v>2683</v>
      </c>
      <c r="C5" s="17" t="s">
        <v>362</v>
      </c>
      <c r="D5" s="6">
        <v>72</v>
      </c>
      <c r="E5" s="27">
        <v>6500</v>
      </c>
      <c r="F5" s="9"/>
      <c r="G5" s="6">
        <v>2378</v>
      </c>
      <c r="H5" s="8">
        <f>VLOOKUP(G5,B5:E15,4,FALSE())</f>
        <v>3000</v>
      </c>
    </row>
    <row r="6" spans="2:10">
      <c r="B6" s="26">
        <v>6483</v>
      </c>
      <c r="C6" s="17" t="s">
        <v>363</v>
      </c>
      <c r="D6" s="6">
        <v>97</v>
      </c>
      <c r="E6" s="27">
        <v>15000</v>
      </c>
      <c r="F6" s="9"/>
      <c r="G6" s="11"/>
    </row>
    <row r="7" spans="2:10">
      <c r="B7" s="26">
        <v>6110</v>
      </c>
      <c r="C7" s="17" t="s">
        <v>364</v>
      </c>
      <c r="D7" s="6">
        <v>61</v>
      </c>
      <c r="E7" s="27">
        <v>500</v>
      </c>
      <c r="F7" s="9"/>
      <c r="G7" s="11"/>
    </row>
    <row r="8" spans="2:10">
      <c r="B8" s="26">
        <v>5711</v>
      </c>
      <c r="C8" s="17" t="s">
        <v>365</v>
      </c>
      <c r="D8" s="6">
        <v>101</v>
      </c>
      <c r="E8" s="27">
        <v>1500</v>
      </c>
      <c r="F8" s="9"/>
      <c r="G8" s="11"/>
    </row>
    <row r="9" spans="2:10">
      <c r="B9" s="26">
        <v>3506</v>
      </c>
      <c r="C9" s="17" t="s">
        <v>366</v>
      </c>
      <c r="D9" s="6">
        <v>70</v>
      </c>
      <c r="E9" s="27">
        <v>8900</v>
      </c>
      <c r="F9" s="9"/>
      <c r="G9" s="11"/>
    </row>
    <row r="10" spans="2:10">
      <c r="B10" s="26">
        <v>9139</v>
      </c>
      <c r="C10" s="17" t="s">
        <v>367</v>
      </c>
      <c r="D10" s="6">
        <v>90</v>
      </c>
      <c r="E10" s="27">
        <v>150</v>
      </c>
      <c r="F10" s="9"/>
      <c r="G10" s="11"/>
    </row>
    <row r="11" spans="2:10">
      <c r="B11" s="26">
        <v>1546</v>
      </c>
      <c r="C11" s="17" t="s">
        <v>368</v>
      </c>
      <c r="D11" s="6">
        <v>73</v>
      </c>
      <c r="E11" s="27">
        <v>30000</v>
      </c>
      <c r="F11" s="9"/>
      <c r="G11" s="11"/>
    </row>
    <row r="12" spans="2:10">
      <c r="B12" s="26">
        <v>5897</v>
      </c>
      <c r="C12" s="17" t="s">
        <v>369</v>
      </c>
      <c r="D12" s="6">
        <v>95</v>
      </c>
      <c r="E12" s="27">
        <v>8000</v>
      </c>
      <c r="F12" s="9"/>
      <c r="G12" s="11"/>
    </row>
    <row r="13" spans="2:10">
      <c r="B13" s="26">
        <v>2378</v>
      </c>
      <c r="C13" s="17" t="s">
        <v>370</v>
      </c>
      <c r="D13" s="6">
        <v>93</v>
      </c>
      <c r="E13" s="27">
        <v>3000</v>
      </c>
      <c r="F13" s="9"/>
      <c r="G13" s="11"/>
    </row>
    <row r="14" spans="2:10">
      <c r="B14" s="26">
        <v>1345</v>
      </c>
      <c r="C14" s="17" t="s">
        <v>371</v>
      </c>
      <c r="D14" s="6">
        <v>71</v>
      </c>
      <c r="E14" s="27">
        <v>2900</v>
      </c>
      <c r="F14" s="9"/>
    </row>
    <row r="15" spans="2:10">
      <c r="B15" s="26">
        <v>9215</v>
      </c>
      <c r="C15" s="17" t="s">
        <v>372</v>
      </c>
      <c r="D15" s="6">
        <v>57</v>
      </c>
      <c r="E15" s="27">
        <v>12000</v>
      </c>
      <c r="F15" s="9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6"/>
  <sheetViews>
    <sheetView workbookViewId="0">
      <selection activeCell="E23" sqref="E23"/>
    </sheetView>
  </sheetViews>
  <sheetFormatPr defaultColWidth="9" defaultRowHeight="14.4"/>
  <cols>
    <col min="2" max="2" width="14.4444444444444" style="1" customWidth="1"/>
    <col min="3" max="3" width="15.5555555555556" style="1" customWidth="1"/>
    <col min="4" max="4" width="17.6666666666667" style="1" customWidth="1"/>
    <col min="5" max="5" width="16.2407407407407" style="1" customWidth="1"/>
    <col min="6" max="6" width="26.5555555555556" style="1" customWidth="1"/>
    <col min="7" max="7" width="10.4444444444444" style="1" customWidth="1"/>
  </cols>
  <sheetData>
    <row r="1" spans="2:10">
      <c r="F1" s="21"/>
      <c r="J1" s="2"/>
    </row>
    <row r="2" ht="21" spans="2:10">
      <c r="B2" s="3" t="s">
        <v>373</v>
      </c>
    </row>
    <row r="3" spans="2:10">
      <c r="C3" s="9"/>
      <c r="D3" s="9"/>
    </row>
    <row r="4" ht="15.6" spans="2:10">
      <c r="B4" s="4" t="s">
        <v>374</v>
      </c>
      <c r="C4" s="4" t="s">
        <v>375</v>
      </c>
      <c r="D4" s="22" t="s">
        <v>376</v>
      </c>
    </row>
    <row r="5" spans="2:10">
      <c r="B5" s="17">
        <v>7600</v>
      </c>
      <c r="C5" s="6">
        <v>4</v>
      </c>
      <c r="D5" s="23">
        <f t="shared" ref="D5:D15" si="0">IFERROR(B5/C5,"")</f>
        <v>1900</v>
      </c>
      <c r="E5" s="9"/>
    </row>
    <row r="6" spans="2:10">
      <c r="B6" s="17">
        <v>10300</v>
      </c>
      <c r="C6" s="6">
        <v>0</v>
      </c>
      <c r="D6" s="23" t="str">
        <f t="shared" si="0"/>
        <v/>
      </c>
      <c r="E6" s="9" t="s">
        <v>377</v>
      </c>
    </row>
    <row r="7" spans="2:10">
      <c r="B7" s="17">
        <v>9800</v>
      </c>
      <c r="C7" s="6">
        <v>5</v>
      </c>
      <c r="D7" s="23">
        <f t="shared" si="0"/>
        <v>1960</v>
      </c>
      <c r="E7" s="9"/>
    </row>
    <row r="8" spans="2:10">
      <c r="B8" s="17">
        <v>7300</v>
      </c>
      <c r="C8" s="6">
        <v>10</v>
      </c>
      <c r="D8" s="23">
        <f t="shared" si="0"/>
        <v>730</v>
      </c>
      <c r="E8" s="9"/>
    </row>
    <row r="9" spans="2:10">
      <c r="B9" s="17">
        <v>14300</v>
      </c>
      <c r="C9" s="6">
        <v>6</v>
      </c>
      <c r="D9" s="23">
        <f t="shared" si="0"/>
        <v>2383.33333333333</v>
      </c>
      <c r="E9" s="9"/>
    </row>
    <row r="10" spans="2:10">
      <c r="B10" s="17">
        <v>9700</v>
      </c>
      <c r="C10" s="6">
        <v>7</v>
      </c>
      <c r="D10" s="23">
        <f t="shared" si="0"/>
        <v>1385.71428571429</v>
      </c>
      <c r="E10" s="9"/>
    </row>
    <row r="11" spans="2:10">
      <c r="B11" s="17">
        <v>7700</v>
      </c>
      <c r="C11" s="6">
        <v>14</v>
      </c>
      <c r="D11" s="23">
        <f t="shared" si="0"/>
        <v>550</v>
      </c>
      <c r="E11" s="9"/>
    </row>
    <row r="12" spans="2:10">
      <c r="B12" s="17">
        <v>5500</v>
      </c>
      <c r="C12" s="6">
        <v>15</v>
      </c>
      <c r="D12" s="23">
        <f t="shared" si="0"/>
        <v>366.666666666667</v>
      </c>
      <c r="E12" s="9"/>
    </row>
    <row r="13" spans="2:10">
      <c r="B13" s="17">
        <v>7700</v>
      </c>
      <c r="C13" s="6">
        <v>9</v>
      </c>
      <c r="D13" s="23">
        <f t="shared" si="0"/>
        <v>855.555555555556</v>
      </c>
      <c r="E13" s="9"/>
    </row>
    <row r="14" spans="2:10">
      <c r="B14" s="17">
        <v>6100</v>
      </c>
      <c r="C14" s="6">
        <v>0</v>
      </c>
      <c r="D14" s="23" t="str">
        <f t="shared" si="0"/>
        <v/>
      </c>
      <c r="E14" s="9" t="s">
        <v>377</v>
      </c>
    </row>
    <row r="15" spans="2:10">
      <c r="B15" s="17">
        <v>12500</v>
      </c>
      <c r="C15" s="6">
        <v>7</v>
      </c>
      <c r="D15" s="23">
        <f t="shared" si="0"/>
        <v>1785.71428571429</v>
      </c>
      <c r="E15" s="9"/>
    </row>
    <row r="16" spans="2:10">
      <c r="D16" s="24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F40" sqref="F40"/>
    </sheetView>
  </sheetViews>
  <sheetFormatPr defaultColWidth="9" defaultRowHeight="14.4"/>
  <cols>
    <col min="2" max="2" width="19.5555555555556" style="1" customWidth="1"/>
    <col min="3" max="4" width="12.8888888888889" style="1" customWidth="1"/>
    <col min="5" max="5" width="19.5555555555556" style="1" customWidth="1"/>
    <col min="6" max="6" width="18" style="1" customWidth="1"/>
  </cols>
  <sheetData>
    <row r="1" spans="2:10">
      <c r="J1" s="2"/>
    </row>
    <row r="2" ht="21" spans="2:10">
      <c r="B2" s="3" t="s">
        <v>378</v>
      </c>
      <c r="C2" s="3"/>
    </row>
    <row r="4" ht="15.6" spans="2:10">
      <c r="B4" s="4" t="s">
        <v>359</v>
      </c>
      <c r="E4" s="15" t="s">
        <v>359</v>
      </c>
      <c r="F4" s="16" t="s">
        <v>5</v>
      </c>
    </row>
    <row r="5" spans="2:10">
      <c r="B5" s="17" t="s">
        <v>362</v>
      </c>
      <c r="C5" s="18">
        <v>1</v>
      </c>
      <c r="D5" s="9"/>
      <c r="E5" s="6" t="s">
        <v>366</v>
      </c>
      <c r="F5" s="19">
        <f>MATCH(E5,B5:B15,0)</f>
        <v>5</v>
      </c>
    </row>
    <row r="6" spans="2:10">
      <c r="B6" s="17" t="s">
        <v>363</v>
      </c>
      <c r="C6" s="18">
        <v>2</v>
      </c>
      <c r="D6" s="9"/>
      <c r="E6" s="11"/>
    </row>
    <row r="7" spans="2:10">
      <c r="B7" s="17" t="s">
        <v>364</v>
      </c>
      <c r="C7" s="18">
        <v>3</v>
      </c>
      <c r="D7" s="9"/>
      <c r="E7" s="11"/>
    </row>
    <row r="8" spans="2:10">
      <c r="B8" s="17" t="s">
        <v>365</v>
      </c>
      <c r="C8" s="18">
        <v>4</v>
      </c>
      <c r="D8" s="9"/>
      <c r="E8" s="11"/>
    </row>
    <row r="9" spans="2:10">
      <c r="B9" s="17" t="s">
        <v>366</v>
      </c>
      <c r="C9" s="18">
        <v>5</v>
      </c>
      <c r="D9" s="9"/>
      <c r="E9" s="11"/>
    </row>
    <row r="10" spans="2:10">
      <c r="B10" s="17" t="s">
        <v>367</v>
      </c>
      <c r="C10" s="18">
        <v>6</v>
      </c>
      <c r="D10" s="9"/>
      <c r="E10" s="11"/>
    </row>
    <row r="11" spans="2:10">
      <c r="B11" s="17" t="s">
        <v>368</v>
      </c>
      <c r="C11" s="18">
        <v>7</v>
      </c>
      <c r="D11" s="9"/>
      <c r="E11" s="11"/>
    </row>
    <row r="12" spans="2:10">
      <c r="B12" s="17" t="s">
        <v>369</v>
      </c>
      <c r="C12" s="18">
        <v>8</v>
      </c>
      <c r="D12" s="9"/>
      <c r="E12" s="11"/>
    </row>
    <row r="13" spans="2:10">
      <c r="B13" s="17" t="s">
        <v>370</v>
      </c>
      <c r="C13" s="18">
        <v>9</v>
      </c>
      <c r="D13" s="9"/>
      <c r="E13" s="11"/>
    </row>
    <row r="14" spans="2:10">
      <c r="B14" s="17" t="s">
        <v>371</v>
      </c>
      <c r="C14" s="18">
        <v>10</v>
      </c>
      <c r="D14" s="9"/>
    </row>
    <row r="15" spans="2:10">
      <c r="B15" s="17" t="s">
        <v>372</v>
      </c>
      <c r="C15" s="18">
        <v>11</v>
      </c>
      <c r="D15" s="9"/>
      <c r="F15" s="20"/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25" sqref="F25"/>
    </sheetView>
  </sheetViews>
  <sheetFormatPr defaultColWidth="9" defaultRowHeight="14.4"/>
  <cols>
    <col min="2" max="2" width="27.8888888888889" style="1" customWidth="1"/>
    <col min="3" max="3" width="13.3425925925926" style="1" customWidth="1"/>
    <col min="4" max="4" width="16.8888888888889" style="1" customWidth="1"/>
    <col min="5" max="5" width="15.6574074074074" style="1" customWidth="1"/>
    <col min="7" max="7" width="16.2407407407407" style="1" customWidth="1"/>
    <col min="8" max="8" width="18" style="1" customWidth="1"/>
  </cols>
  <sheetData>
    <row r="1" spans="1:10">
      <c r="J1" s="2"/>
    </row>
    <row r="2" ht="21" spans="1:10">
      <c r="B2" s="3" t="s">
        <v>379</v>
      </c>
    </row>
    <row r="3" spans="1:10">
      <c r="B3" s="12">
        <v>1</v>
      </c>
      <c r="C3" s="12">
        <v>2</v>
      </c>
      <c r="D3" s="12">
        <v>3</v>
      </c>
      <c r="E3" s="12">
        <v>4</v>
      </c>
    </row>
    <row r="4" ht="15.6" spans="1:10">
      <c r="B4" s="4" t="s">
        <v>380</v>
      </c>
      <c r="C4" s="4" t="s">
        <v>381</v>
      </c>
      <c r="D4" s="4" t="s">
        <v>136</v>
      </c>
      <c r="E4" s="4" t="s">
        <v>382</v>
      </c>
    </row>
    <row r="5" ht="15.6" spans="1:10">
      <c r="A5" s="5">
        <v>1</v>
      </c>
      <c r="B5" s="10" t="s">
        <v>383</v>
      </c>
      <c r="C5" s="7">
        <v>829.8</v>
      </c>
      <c r="D5" s="6" t="s">
        <v>384</v>
      </c>
      <c r="E5" s="13">
        <f t="shared" ref="E5:E15" si="0">RANK(C5,$C$5:$C$15)</f>
        <v>1</v>
      </c>
      <c r="F5" s="9"/>
    </row>
    <row r="6" ht="15.6" spans="1:10">
      <c r="A6" s="5">
        <v>2</v>
      </c>
      <c r="B6" s="6" t="s">
        <v>385</v>
      </c>
      <c r="C6" s="7">
        <v>678.9</v>
      </c>
      <c r="D6" s="6" t="s">
        <v>386</v>
      </c>
      <c r="E6" s="13">
        <f t="shared" si="0"/>
        <v>2</v>
      </c>
      <c r="F6" s="9"/>
      <c r="G6" s="14">
        <f>INDEX(C5:C15,4,1)</f>
        <v>632</v>
      </c>
    </row>
    <row r="7" ht="15.6" spans="1:10">
      <c r="A7" s="5">
        <v>3</v>
      </c>
      <c r="B7" s="6" t="s">
        <v>387</v>
      </c>
      <c r="C7" s="7">
        <v>634</v>
      </c>
      <c r="D7" s="6" t="s">
        <v>388</v>
      </c>
      <c r="E7" s="13">
        <f t="shared" si="0"/>
        <v>3</v>
      </c>
      <c r="F7" s="9"/>
    </row>
    <row r="8" ht="15.6" spans="1:10">
      <c r="A8" s="5">
        <v>4</v>
      </c>
      <c r="B8" s="6" t="s">
        <v>389</v>
      </c>
      <c r="C8" s="7">
        <v>632</v>
      </c>
      <c r="D8" s="6" t="s">
        <v>390</v>
      </c>
      <c r="E8" s="13">
        <f t="shared" si="0"/>
        <v>4</v>
      </c>
      <c r="F8" s="9"/>
      <c r="G8" s="11"/>
    </row>
    <row r="9" ht="15.6" spans="1:10">
      <c r="A9" s="5">
        <v>5</v>
      </c>
      <c r="B9" s="6" t="s">
        <v>391</v>
      </c>
      <c r="C9" s="7">
        <v>627.8</v>
      </c>
      <c r="D9" s="6" t="s">
        <v>392</v>
      </c>
      <c r="E9" s="13">
        <f t="shared" si="0"/>
        <v>5</v>
      </c>
      <c r="F9" s="9"/>
      <c r="G9" s="11"/>
    </row>
    <row r="10" ht="15.6" spans="1:10">
      <c r="A10" s="5">
        <v>6</v>
      </c>
      <c r="B10" s="6" t="s">
        <v>393</v>
      </c>
      <c r="C10" s="7">
        <v>604</v>
      </c>
      <c r="D10" s="6" t="s">
        <v>394</v>
      </c>
      <c r="E10" s="13">
        <f t="shared" si="0"/>
        <v>6</v>
      </c>
      <c r="F10" s="9"/>
      <c r="G10" s="11"/>
    </row>
    <row r="11" ht="15.6" spans="1:10">
      <c r="A11" s="5">
        <v>7</v>
      </c>
      <c r="B11" s="6" t="s">
        <v>395</v>
      </c>
      <c r="C11" s="7">
        <v>601</v>
      </c>
      <c r="D11" s="6" t="s">
        <v>396</v>
      </c>
      <c r="E11" s="13">
        <f t="shared" si="0"/>
        <v>7</v>
      </c>
      <c r="F11" s="9"/>
      <c r="G11" s="11"/>
    </row>
    <row r="12" ht="15.6" spans="1:10">
      <c r="A12" s="5">
        <v>8</v>
      </c>
      <c r="B12" s="6" t="s">
        <v>397</v>
      </c>
      <c r="C12" s="7">
        <v>596.6</v>
      </c>
      <c r="D12" s="6" t="s">
        <v>398</v>
      </c>
      <c r="E12" s="13">
        <f t="shared" si="0"/>
        <v>8</v>
      </c>
      <c r="F12" s="9"/>
    </row>
    <row r="13" ht="15.6" spans="1:10">
      <c r="A13" s="5">
        <v>9</v>
      </c>
      <c r="B13" s="6" t="s">
        <v>399</v>
      </c>
      <c r="C13" s="7">
        <v>555.7</v>
      </c>
      <c r="D13" s="6" t="s">
        <v>400</v>
      </c>
      <c r="E13" s="13">
        <f t="shared" si="0"/>
        <v>9</v>
      </c>
      <c r="F13" s="9"/>
    </row>
    <row r="14" ht="15.6" spans="1:10">
      <c r="A14" s="5">
        <v>10</v>
      </c>
      <c r="B14" s="6" t="s">
        <v>401</v>
      </c>
      <c r="C14" s="7">
        <v>553.3</v>
      </c>
      <c r="D14" s="6" t="s">
        <v>402</v>
      </c>
      <c r="E14" s="13">
        <f t="shared" si="0"/>
        <v>10</v>
      </c>
    </row>
    <row r="15" ht="15.6" spans="1:10">
      <c r="A15" s="5">
        <v>11</v>
      </c>
      <c r="B15" s="6" t="s">
        <v>403</v>
      </c>
      <c r="C15" s="7">
        <v>540</v>
      </c>
      <c r="D15" s="6" t="s">
        <v>139</v>
      </c>
      <c r="E15" s="13">
        <f t="shared" si="0"/>
        <v>11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E12" sqref="E12"/>
    </sheetView>
  </sheetViews>
  <sheetFormatPr defaultColWidth="9" defaultRowHeight="14.4"/>
  <cols>
    <col min="2" max="2" width="27.8888888888889" style="1" customWidth="1"/>
    <col min="3" max="3" width="13.3425925925926" style="1" customWidth="1"/>
    <col min="4" max="4" width="16.8888888888889" style="1" customWidth="1"/>
    <col min="5" max="5" width="15.6574074074074" style="1" customWidth="1"/>
    <col min="7" max="7" width="16.2407407407407" style="1" customWidth="1"/>
    <col min="8" max="8" width="18" style="1" customWidth="1"/>
  </cols>
  <sheetData>
    <row r="1" spans="1:10">
      <c r="J1" s="2"/>
    </row>
    <row r="2" ht="21" spans="1:10">
      <c r="B2" s="3" t="s">
        <v>404</v>
      </c>
    </row>
    <row r="4" ht="15.6" spans="1:10">
      <c r="B4" s="4" t="s">
        <v>380</v>
      </c>
      <c r="C4" s="4" t="s">
        <v>381</v>
      </c>
      <c r="D4" s="4" t="s">
        <v>136</v>
      </c>
      <c r="E4" s="4" t="s">
        <v>382</v>
      </c>
    </row>
    <row r="5" ht="15.6" spans="1:10">
      <c r="A5" s="5"/>
      <c r="B5" s="6" t="s">
        <v>397</v>
      </c>
      <c r="C5" s="7">
        <v>596.6</v>
      </c>
      <c r="D5" s="6" t="s">
        <v>398</v>
      </c>
      <c r="E5" s="8">
        <f t="shared" ref="E5:E15" si="0">RANK(C5,$C$5:$C$15,0)</f>
        <v>8</v>
      </c>
      <c r="F5" s="9"/>
    </row>
    <row r="6" ht="15.6" spans="1:10">
      <c r="A6" s="5"/>
      <c r="B6" s="6" t="s">
        <v>385</v>
      </c>
      <c r="C6" s="7">
        <v>678.9</v>
      </c>
      <c r="D6" s="6" t="s">
        <v>386</v>
      </c>
      <c r="E6" s="8">
        <f t="shared" si="0"/>
        <v>2</v>
      </c>
      <c r="F6" s="9"/>
    </row>
    <row r="7" ht="15.6" spans="1:10">
      <c r="A7" s="5"/>
      <c r="B7" s="6" t="s">
        <v>387</v>
      </c>
      <c r="C7" s="7">
        <v>634</v>
      </c>
      <c r="D7" s="6" t="s">
        <v>388</v>
      </c>
      <c r="E7" s="8">
        <f t="shared" si="0"/>
        <v>3</v>
      </c>
      <c r="F7" s="9"/>
    </row>
    <row r="8" ht="15.6" spans="1:10">
      <c r="A8" s="5"/>
      <c r="B8" s="6" t="s">
        <v>399</v>
      </c>
      <c r="C8" s="7">
        <v>555.7</v>
      </c>
      <c r="D8" s="6" t="s">
        <v>400</v>
      </c>
      <c r="E8" s="8">
        <f t="shared" si="0"/>
        <v>9</v>
      </c>
      <c r="F8" s="9"/>
    </row>
    <row r="9" ht="15.6" spans="1:10">
      <c r="A9" s="5"/>
      <c r="B9" s="10" t="s">
        <v>383</v>
      </c>
      <c r="C9" s="7">
        <v>829.8</v>
      </c>
      <c r="D9" s="6" t="s">
        <v>384</v>
      </c>
      <c r="E9" s="8">
        <f t="shared" si="0"/>
        <v>1</v>
      </c>
      <c r="F9" s="9"/>
      <c r="G9" s="11"/>
    </row>
    <row r="10" ht="15.6" spans="1:10">
      <c r="A10" s="5"/>
      <c r="B10" s="6" t="s">
        <v>395</v>
      </c>
      <c r="C10" s="7">
        <v>601</v>
      </c>
      <c r="D10" s="6" t="s">
        <v>396</v>
      </c>
      <c r="E10" s="8">
        <f t="shared" si="0"/>
        <v>7</v>
      </c>
      <c r="F10" s="9"/>
      <c r="G10" s="11"/>
    </row>
    <row r="11" ht="15.6" spans="1:10">
      <c r="A11" s="5"/>
      <c r="B11" s="6" t="s">
        <v>403</v>
      </c>
      <c r="C11" s="7">
        <v>540</v>
      </c>
      <c r="D11" s="6" t="s">
        <v>139</v>
      </c>
      <c r="E11" s="8">
        <f t="shared" si="0"/>
        <v>11</v>
      </c>
      <c r="F11" s="9"/>
      <c r="G11" s="11"/>
    </row>
    <row r="12" ht="15.6" spans="1:10">
      <c r="A12" s="5"/>
      <c r="B12" s="6" t="s">
        <v>401</v>
      </c>
      <c r="C12" s="7">
        <v>553.3</v>
      </c>
      <c r="D12" s="6" t="s">
        <v>402</v>
      </c>
      <c r="E12" s="8">
        <f t="shared" si="0"/>
        <v>10</v>
      </c>
      <c r="F12" s="9"/>
    </row>
    <row r="13" ht="15.6" spans="1:10">
      <c r="A13" s="5"/>
      <c r="B13" s="6" t="s">
        <v>393</v>
      </c>
      <c r="C13" s="7">
        <v>604</v>
      </c>
      <c r="D13" s="6" t="s">
        <v>394</v>
      </c>
      <c r="E13" s="8">
        <f t="shared" si="0"/>
        <v>6</v>
      </c>
      <c r="F13" s="9"/>
    </row>
    <row r="14" ht="15.6" spans="1:10">
      <c r="A14" s="5"/>
      <c r="B14" s="6" t="s">
        <v>391</v>
      </c>
      <c r="C14" s="7">
        <v>627.8</v>
      </c>
      <c r="D14" s="6" t="s">
        <v>392</v>
      </c>
      <c r="E14" s="8">
        <f t="shared" si="0"/>
        <v>5</v>
      </c>
    </row>
    <row r="15" ht="15.6" spans="1:10">
      <c r="A15" s="5"/>
      <c r="B15" s="6" t="s">
        <v>389</v>
      </c>
      <c r="C15" s="7">
        <v>632</v>
      </c>
      <c r="D15" s="6" t="s">
        <v>390</v>
      </c>
      <c r="E15" s="8">
        <f t="shared" si="0"/>
        <v>4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LibreOffice/7.5.1.2$Windows_X86_64 LibreOffice_project/fcbaee479e84c6cd81291587d2ee68cba099e129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imsosvd</cp:lastModifiedBy>
  <cp:revision>2</cp:revision>
  <dcterms:created xsi:type="dcterms:W3CDTF">2006-09-16T00:00:00Z</dcterms:created>
  <dcterms:modified xsi:type="dcterms:W3CDTF">2026-09-10T21:23:52Z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55A44D0B403E42E6BFB4C3AFAA0F1854_12</vt:lpwstr>
  </property>
  <property fmtid="{D5CDD505-2E9C-101B-9397-08002B2CF9AE}" pid="4" name="KSOProductBuildVer">
    <vt:lpwstr>1049-12.1.0.28485</vt:lpwstr>
  </property>
</Properties>
</file>