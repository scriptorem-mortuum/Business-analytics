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80" activeTab="1"/>
  </bookViews>
  <sheets>
    <sheet name="Данные" sheetId="1" r:id="rId1"/>
    <sheet name="ABC Менеджеры" sheetId="2" r:id="rId2"/>
    <sheet name="ABC_XYZ Клиенты" sheetId="3" r:id="rId3"/>
  </sheets>
  <definedNames>
    <definedName name="_xlnm._FilterDatabase" localSheetId="1" hidden="1">'ABC Менеджеры'!$A$4:$G$16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<sst xmlns="http://schemas.openxmlformats.org/spreadsheetml/2006/main" count="3100" uniqueCount="512">
  <si>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</si>
  <si>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</si>
  <si>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</si>
  <si>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</si>
  <si>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</si>
  <si>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</si>
  <si>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Новикова Вероника Егоровна</t>
  </si>
  <si>
    <t>2023-09-01</t>
  </si>
  <si>
    <t>Орлов Павел Денисович</t>
  </si>
  <si>
    <t>Егоров Константин Дмитриевич</t>
  </si>
  <si>
    <t>Ткаченко Андрей Олегович</t>
  </si>
  <si>
    <t>Павлова Валерия Дмитриевна</t>
  </si>
  <si>
    <t>Петров Владимир Кириллович</t>
  </si>
  <si>
    <t>Попова Наталья Артемовна</t>
  </si>
  <si>
    <t>Семенова Ирина Валерьевна</t>
  </si>
  <si>
    <t>Васильев Георгий Кириллович</t>
  </si>
  <si>
    <t>2023-09-04</t>
  </si>
  <si>
    <t>Громова Мария Ильинична</t>
  </si>
  <si>
    <t>Егоров Дмитрий Павлович</t>
  </si>
  <si>
    <t>Новикова Ольга Петровна</t>
  </si>
  <si>
    <t>Смирнов Иван Александрович</t>
  </si>
  <si>
    <t>Белов Алексей Константинович</t>
  </si>
  <si>
    <t>Смирнова Наталья Владимировна</t>
  </si>
  <si>
    <t>Алексеева Юлия Юрьевна</t>
  </si>
  <si>
    <t>Смирнов Егор Алексеевич</t>
  </si>
  <si>
    <t>Морозова Дарья Викторовна</t>
  </si>
  <si>
    <t>Николаев Георгий Алексеевич</t>
  </si>
  <si>
    <t>2023-09-05</t>
  </si>
  <si>
    <t>Смирнов Константин Никитич</t>
  </si>
  <si>
    <t>Сидоров Артем Андреевич</t>
  </si>
  <si>
    <t>Сидорова Елена Васильевна</t>
  </si>
  <si>
    <t>Егорова Светлана Олеговна</t>
  </si>
  <si>
    <t>2023-09-06</t>
  </si>
  <si>
    <t>Кузнецов Дмитрий Львович</t>
  </si>
  <si>
    <t>Волкова Людмила Михайловна</t>
  </si>
  <si>
    <t>Яковлев Артем Игоревич</t>
  </si>
  <si>
    <t>2023-09-07</t>
  </si>
  <si>
    <t>Николаева Мария Станиславовна</t>
  </si>
  <si>
    <t>Орлов Алексей Артемович</t>
  </si>
  <si>
    <t>2023-09-08</t>
  </si>
  <si>
    <t>Козлов Артур Андреевич</t>
  </si>
  <si>
    <t>Сидорова Александра Кирилловна</t>
  </si>
  <si>
    <t>2023-09-11</t>
  </si>
  <si>
    <t>Морозов Михаил Алексеевич</t>
  </si>
  <si>
    <t>Морозова Людмила Ивановна</t>
  </si>
  <si>
    <t>Федорова Юлия Геннадьевна</t>
  </si>
  <si>
    <t>Козлова Людмила Владимировна</t>
  </si>
  <si>
    <t>Петрова Ольга Ивановна</t>
  </si>
  <si>
    <t>Иванова Анна Сергеевна</t>
  </si>
  <si>
    <t>Волкова Полина Дмитриевна</t>
  </si>
  <si>
    <t>Попова Анна Юрьевна</t>
  </si>
  <si>
    <t>2023-09-12</t>
  </si>
  <si>
    <t>Козлова Татьяна Юрьевна</t>
  </si>
  <si>
    <t>2023-09-13</t>
  </si>
  <si>
    <t>Федорова Полина Андреевна</t>
  </si>
  <si>
    <t>Сидорова Валерия Сергеевна</t>
  </si>
  <si>
    <t>Степанов Илья Артемович</t>
  </si>
  <si>
    <t>2023-09-14</t>
  </si>
  <si>
    <t>Николаева Ольга Павловна</t>
  </si>
  <si>
    <t>Орлов Кирилл Викторович</t>
  </si>
  <si>
    <t>2023-09-15</t>
  </si>
  <si>
    <t>Семенов Кирилл Сергеевич</t>
  </si>
  <si>
    <t>2023-09-18</t>
  </si>
  <si>
    <t>Петров Георгий Иванович</t>
  </si>
  <si>
    <t>Попов Владимир Романович</t>
  </si>
  <si>
    <t>Смирнов Максим Юрьевич</t>
  </si>
  <si>
    <t>Семенов Максим Дмитриевич</t>
  </si>
  <si>
    <t>Смирнов Никита Станиславович</t>
  </si>
  <si>
    <t>Новикова Екатерина Андреевна</t>
  </si>
  <si>
    <t>2023-09-19</t>
  </si>
  <si>
    <t>Смирнова Татьяна Артемовна</t>
  </si>
  <si>
    <t>2023-09-20</t>
  </si>
  <si>
    <t>Степанов Дмитрий Михайлович</t>
  </si>
  <si>
    <t>2023-09-21</t>
  </si>
  <si>
    <t>2023-09-22</t>
  </si>
  <si>
    <t>Кузнецова Дарья Геннадьевна</t>
  </si>
  <si>
    <t>Морозова Дарья Романовна</t>
  </si>
  <si>
    <t>Степанов Алексей Владимирович</t>
  </si>
  <si>
    <t>Смирнова Мария Ильинична</t>
  </si>
  <si>
    <t>2023-09-25</t>
  </si>
  <si>
    <t>Степанова Наталья Кирилловна</t>
  </si>
  <si>
    <t>Васильева Екатерина Михайловна</t>
  </si>
  <si>
    <t>Сидорова Мария Олеговна</t>
  </si>
  <si>
    <t>Павлов Георгий Иванович</t>
  </si>
  <si>
    <t>2023-09-26</t>
  </si>
  <si>
    <t>Егоров Константин Егорович</t>
  </si>
  <si>
    <t>Николаев Сергей Юрьевич</t>
  </si>
  <si>
    <t>Павлова Светлана Олеговна</t>
  </si>
  <si>
    <t>Васильев Максим Павлович</t>
  </si>
  <si>
    <t>Семенова Ирина Никитична</t>
  </si>
  <si>
    <t>2023-09-27</t>
  </si>
  <si>
    <t>Петрова Людмила Сергеевна</t>
  </si>
  <si>
    <t>Васильева Светлана Михайловна</t>
  </si>
  <si>
    <t>2023-09-28</t>
  </si>
  <si>
    <t>Семенова Наталья Владимировна</t>
  </si>
  <si>
    <t>2023-09-29</t>
  </si>
  <si>
    <t>Попова Елена Павловна</t>
  </si>
  <si>
    <t>Семенов Алексей Алексеевич</t>
  </si>
  <si>
    <t>Новиков Андрей Дмитриевич</t>
  </si>
  <si>
    <t>Орлов Артур Кириллович</t>
  </si>
  <si>
    <t>2023-10-02</t>
  </si>
  <si>
    <t>Морозова Светлана Олеговна</t>
  </si>
  <si>
    <t>Попов Артур Алексеевич</t>
  </si>
  <si>
    <t>Смирнов Владимир Олегович</t>
  </si>
  <si>
    <t>Попов Матвей Павлович</t>
  </si>
  <si>
    <t>Федоров Павел Сергеевич</t>
  </si>
  <si>
    <t>2023-10-03</t>
  </si>
  <si>
    <t>Сидоров Никита Никитич</t>
  </si>
  <si>
    <t>2023-10-04</t>
  </si>
  <si>
    <t>Николаев Егор Михайлович</t>
  </si>
  <si>
    <t>Сидоров Егор Алексеевич</t>
  </si>
  <si>
    <t>Волкова Виктория Сергеевна</t>
  </si>
  <si>
    <t>2023-10-05</t>
  </si>
  <si>
    <t>Васильев Георгий Сергеевич</t>
  </si>
  <si>
    <t>Федорова София Александровна</t>
  </si>
  <si>
    <t>2023-10-06</t>
  </si>
  <si>
    <t>Новиков Павел Павлович</t>
  </si>
  <si>
    <t>Морозова Ксения Юрьевна</t>
  </si>
  <si>
    <t>2023-10-09</t>
  </si>
  <si>
    <t>Волков Михаил Павлович</t>
  </si>
  <si>
    <t>Алексеев Артем Артемович</t>
  </si>
  <si>
    <t>Козлов Сергей Романович</t>
  </si>
  <si>
    <t>Николаев Константин Станиславович</t>
  </si>
  <si>
    <t>2023-10-10</t>
  </si>
  <si>
    <t>Семенова Алиса Егоровна</t>
  </si>
  <si>
    <t>2023-10-12</t>
  </si>
  <si>
    <t>2023-10-13</t>
  </si>
  <si>
    <t>2023-10-16</t>
  </si>
  <si>
    <t>Иванов Владимир Романович</t>
  </si>
  <si>
    <t>Федоров Артур Владимирович</t>
  </si>
  <si>
    <t>Волкова Полина Алексеевна</t>
  </si>
  <si>
    <t>Егорова Екатерина Михайловна</t>
  </si>
  <si>
    <t>Егоров Никита Станиславович</t>
  </si>
  <si>
    <t>Федорова Полина Алексеевна</t>
  </si>
  <si>
    <t>2023-10-17</t>
  </si>
  <si>
    <t>2023-10-18</t>
  </si>
  <si>
    <t>Иванова Анна Геннадьевна</t>
  </si>
  <si>
    <t>Алексеева Ольга Никитична</t>
  </si>
  <si>
    <t>2023-10-19</t>
  </si>
  <si>
    <t>Алексеев Матвей Дмитриевич</t>
  </si>
  <si>
    <t>Иванов Андрей Андреевич</t>
  </si>
  <si>
    <t>2023-10-20</t>
  </si>
  <si>
    <t>Федорова Вероника Александровна</t>
  </si>
  <si>
    <t>2023-10-23</t>
  </si>
  <si>
    <t>Семенов Никита Иванович</t>
  </si>
  <si>
    <t>Егорова Людмила Ивановна</t>
  </si>
  <si>
    <t>Петров Андрей Никитич</t>
  </si>
  <si>
    <t>Иванов Александр Павлович</t>
  </si>
  <si>
    <t>2023-10-24</t>
  </si>
  <si>
    <t>Морозов Георгий Алексеевич</t>
  </si>
  <si>
    <t>2023-10-25</t>
  </si>
  <si>
    <t>Павлов Матвей Иванович</t>
  </si>
  <si>
    <t>2023-10-26</t>
  </si>
  <si>
    <t>2023-10-27</t>
  </si>
  <si>
    <t>2023-10-30</t>
  </si>
  <si>
    <t>Смирнов Константин Артемович</t>
  </si>
  <si>
    <t>Николаев Егор Владимирович</t>
  </si>
  <si>
    <t>2023-10-31</t>
  </si>
  <si>
    <t>Николаев Владимир Егорович</t>
  </si>
  <si>
    <t>2023-11-01</t>
  </si>
  <si>
    <t>Павлова Мария Алексеевна</t>
  </si>
  <si>
    <t>Васильев Павел Александрович</t>
  </si>
  <si>
    <t>Попов Матвей Артемович</t>
  </si>
  <si>
    <t>2023-11-02</t>
  </si>
  <si>
    <t>Семенова Александра Станиславовна</t>
  </si>
  <si>
    <t>2023-11-03</t>
  </si>
  <si>
    <t>Степанов Иван Никитич</t>
  </si>
  <si>
    <t>Смирнов Иван Сергеевич</t>
  </si>
  <si>
    <t>Васильева Елена Владимировна</t>
  </si>
  <si>
    <t>2023-11-06</t>
  </si>
  <si>
    <t>Попов Георгий Викторович</t>
  </si>
  <si>
    <t>Алексеев Алексей Артемович</t>
  </si>
  <si>
    <t>Орлова София Викторовна</t>
  </si>
  <si>
    <t>2023-11-07</t>
  </si>
  <si>
    <t>2023-11-08</t>
  </si>
  <si>
    <t>2023-11-09</t>
  </si>
  <si>
    <t>Морозова Полина Никитична</t>
  </si>
  <si>
    <t>2023-11-10</t>
  </si>
  <si>
    <t>Степанова Вероника Дмитриевна</t>
  </si>
  <si>
    <t>2023-11-13</t>
  </si>
  <si>
    <t>Петров Илья Павлович</t>
  </si>
  <si>
    <t>Семенов Илья Геннадьевич</t>
  </si>
  <si>
    <t>Семенова Алиса Ивановна</t>
  </si>
  <si>
    <t>2023-11-14</t>
  </si>
  <si>
    <t>Федорова Мария Кирилловна</t>
  </si>
  <si>
    <t>Иванов Александр Кириллович</t>
  </si>
  <si>
    <t>2023-11-15</t>
  </si>
  <si>
    <t>2023-11-16</t>
  </si>
  <si>
    <t>2023-11-17</t>
  </si>
  <si>
    <t>Орлова Наталья Геннадьевна</t>
  </si>
  <si>
    <t>2023-11-20</t>
  </si>
  <si>
    <t>Николаев Никита Олегович</t>
  </si>
  <si>
    <t>Морозова Екатерина Александровна</t>
  </si>
  <si>
    <t>2023-11-21</t>
  </si>
  <si>
    <t>Козлов Иван Андреевич</t>
  </si>
  <si>
    <t>Павлова Валерия Ильинична</t>
  </si>
  <si>
    <t>2023-11-22</t>
  </si>
  <si>
    <t>Смирнова Татьяна Никитична</t>
  </si>
  <si>
    <t>2023-11-23</t>
  </si>
  <si>
    <t>2023-11-24</t>
  </si>
  <si>
    <t>Павлов Дмитрий Юрьевич</t>
  </si>
  <si>
    <t>Орлов Михаил Викторович</t>
  </si>
  <si>
    <t>Васильев Владимир Михайлович</t>
  </si>
  <si>
    <t>2023-11-27</t>
  </si>
  <si>
    <t>Николаева Полина Олеговна</t>
  </si>
  <si>
    <t>Иванова Алиса Викторовна</t>
  </si>
  <si>
    <t>Козлова София Ивановна</t>
  </si>
  <si>
    <t>2023-11-28</t>
  </si>
  <si>
    <t>2023-11-29</t>
  </si>
  <si>
    <t>Попов Сергей Артемович</t>
  </si>
  <si>
    <t>2023-11-30</t>
  </si>
  <si>
    <t>2023-12-01</t>
  </si>
  <si>
    <t>2023-12-04</t>
  </si>
  <si>
    <t>Волкова Александра Павловна</t>
  </si>
  <si>
    <t>Николаева Мария Сергеевна</t>
  </si>
  <si>
    <t>Федорова Ольга Дмитриевна</t>
  </si>
  <si>
    <t>Новикова Екатерина Александровна</t>
  </si>
  <si>
    <t>2023-12-05</t>
  </si>
  <si>
    <t>Орлова Валерия Егоровна</t>
  </si>
  <si>
    <t>2023-12-08</t>
  </si>
  <si>
    <t>Кузнецова Анна Егоровна</t>
  </si>
  <si>
    <t>Морозов Роман Владимирович</t>
  </si>
  <si>
    <t>Степанов Никита Дмитриевич</t>
  </si>
  <si>
    <t>2023-12-11</t>
  </si>
  <si>
    <t>Сидорова Мария Владимировна</t>
  </si>
  <si>
    <t>Иванова Наталья Дмитриевна</t>
  </si>
  <si>
    <t>Алексеева Виктория Станиславовна</t>
  </si>
  <si>
    <t>2023-12-12</t>
  </si>
  <si>
    <t>Алексеева Ксения Ивановна</t>
  </si>
  <si>
    <t>2023-12-13</t>
  </si>
  <si>
    <t>2023-12-14</t>
  </si>
  <si>
    <t>Лебедева Мария Павловна</t>
  </si>
  <si>
    <t>Новикова София Олеговна</t>
  </si>
  <si>
    <t>2023-12-15</t>
  </si>
  <si>
    <t>Васильев Алексей Андреевич</t>
  </si>
  <si>
    <t>2023-12-18</t>
  </si>
  <si>
    <t>Кузнецова Татьяна Ильинична</t>
  </si>
  <si>
    <t>Иванова Александра Ивановна</t>
  </si>
  <si>
    <t>2023-12-19</t>
  </si>
  <si>
    <t>Смирнов Илья Геннадьевич</t>
  </si>
  <si>
    <t>Новикова Мария Ильинична</t>
  </si>
  <si>
    <t>Сидоров Егор Дмитриевич</t>
  </si>
  <si>
    <t>2023-12-20</t>
  </si>
  <si>
    <t>2023-12-21</t>
  </si>
  <si>
    <t>2023-12-22</t>
  </si>
  <si>
    <t>Лебедева Валерия Алексеевна</t>
  </si>
  <si>
    <t>2023-12-25</t>
  </si>
  <si>
    <t>2023-12-26</t>
  </si>
  <si>
    <t>2023-12-28</t>
  </si>
  <si>
    <t>Морозова Алиса Павловна</t>
  </si>
  <si>
    <t>Степанова Ирина Кирилловна</t>
  </si>
  <si>
    <t>2023-12-29</t>
  </si>
  <si>
    <t>2024-01-01</t>
  </si>
  <si>
    <t>Волков Александр Егорович</t>
  </si>
  <si>
    <t>2024-01-02</t>
  </si>
  <si>
    <t>2024-01-03</t>
  </si>
  <si>
    <t>Павлова Ирина Михайловна</t>
  </si>
  <si>
    <t>2024-01-04</t>
  </si>
  <si>
    <t>Федоров Павел Никитич</t>
  </si>
  <si>
    <t>2024-01-05</t>
  </si>
  <si>
    <t>Лебедев Константин Кириллович</t>
  </si>
  <si>
    <t>Николаева Людмила Викторовна</t>
  </si>
  <si>
    <t>2024-01-08</t>
  </si>
  <si>
    <t>Новиков Сергей Викторович</t>
  </si>
  <si>
    <t>Петрова София Павловна</t>
  </si>
  <si>
    <t>Иванов Михаил Романович</t>
  </si>
  <si>
    <t>2024-01-09</t>
  </si>
  <si>
    <t>Попов Андрей Алексеевич</t>
  </si>
  <si>
    <t>2024-01-10</t>
  </si>
  <si>
    <t>Лебедев Павел Кириллович</t>
  </si>
  <si>
    <t>2024-01-11</t>
  </si>
  <si>
    <t>Николаева Татьяна Геннадьевна</t>
  </si>
  <si>
    <t>2024-01-12</t>
  </si>
  <si>
    <t>Орлова Вероника Романовна</t>
  </si>
  <si>
    <t>Егоров Егор Геннадьевич</t>
  </si>
  <si>
    <t>2024-01-15</t>
  </si>
  <si>
    <t>2024-01-16</t>
  </si>
  <si>
    <t>Павлов Кирилл Алексеевич</t>
  </si>
  <si>
    <t>2024-01-17</t>
  </si>
  <si>
    <t>Николаева Дарья Павловна</t>
  </si>
  <si>
    <t>2024-01-18</t>
  </si>
  <si>
    <t>Сидорова Елена Андреевна</t>
  </si>
  <si>
    <t>2024-01-19</t>
  </si>
  <si>
    <t>2024-01-22</t>
  </si>
  <si>
    <t>Кузнецов Илья Андреевич</t>
  </si>
  <si>
    <t>Кузнецова Татьяна Андреевна</t>
  </si>
  <si>
    <t>2024-01-23</t>
  </si>
  <si>
    <t>Степанова Ирина Алексеевна</t>
  </si>
  <si>
    <t>2024-01-24</t>
  </si>
  <si>
    <t>Орлов Андрей Ильич</t>
  </si>
  <si>
    <t>2024-01-25</t>
  </si>
  <si>
    <t>2024-01-26</t>
  </si>
  <si>
    <t>Николаева Наталья Егоровна</t>
  </si>
  <si>
    <t>Васильева Анна Егоровна</t>
  </si>
  <si>
    <t>2024-01-29</t>
  </si>
  <si>
    <t>2024-01-30</t>
  </si>
  <si>
    <t>Васильев Георгий Андреевич</t>
  </si>
  <si>
    <t>2024-01-31</t>
  </si>
  <si>
    <t>2024-02-01</t>
  </si>
  <si>
    <t>2024-02-05</t>
  </si>
  <si>
    <t>2024-02-06</t>
  </si>
  <si>
    <t>2024-02-07</t>
  </si>
  <si>
    <t>2024-02-08</t>
  </si>
  <si>
    <t>2024-02-09</t>
  </si>
  <si>
    <t>Орлов Иван Артемович</t>
  </si>
  <si>
    <t>2024-02-12</t>
  </si>
  <si>
    <t>2024-02-13</t>
  </si>
  <si>
    <t>Петров Сергей Артемович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</si>
  <si>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</si>
  <si>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</si>
  <si>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</si>
  <si>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</si>
  <si>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</si>
  <si>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</si>
  <si>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</si>
  <si>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</si>
  <si>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</si>
  <si>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Алексеев Сергей Павлович</t>
  </si>
  <si>
    <t>2024-02-27</t>
  </si>
  <si>
    <t>2024-02-28</t>
  </si>
  <si>
    <t>2024-02-29</t>
  </si>
  <si>
    <t>2024-03-01</t>
  </si>
  <si>
    <t>Кузнецов Егор Андреевич</t>
  </si>
  <si>
    <t>2024-03-04</t>
  </si>
  <si>
    <t>2024-03-05</t>
  </si>
  <si>
    <t>2024-03-06</t>
  </si>
  <si>
    <t>2024-03-07</t>
  </si>
  <si>
    <t>2024-03-11</t>
  </si>
  <si>
    <t>Егорова София Романовна</t>
  </si>
  <si>
    <t>2024-03-12</t>
  </si>
  <si>
    <t>Попов Алексей Егорович</t>
  </si>
  <si>
    <t>2024-03-13</t>
  </si>
  <si>
    <t>Новиков Артур Сергеевич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</si>
  <si>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</si>
  <si>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</si>
  <si>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</si>
  <si>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</si>
  <si>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</si>
  <si>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</si>
  <si>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</si>
  <si>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Павлов Андрей Геннадьевич</t>
  </si>
  <si>
    <t>Морозов Иван Кириллович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</si>
  <si>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</si>
  <si>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</si>
  <si>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</si>
  <si>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</si>
  <si>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</si>
  <si>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</si>
  <si>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</si>
  <si>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</si>
  <si>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</si>
  <si>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</si>
  <si>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</si>
  <si>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</si>
  <si>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</si>
  <si>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</si>
  <si>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</si>
  <si>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</si>
  <si>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</si>
  <si>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</si>
  <si>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</si>
  <si>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</si>
  <si>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</si>
  <si>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</si>
  <si>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</si>
  <si>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2024-04-26</t>
  </si>
  <si>
    <t>2024-04-29</t>
  </si>
  <si>
    <t>2024-04-30</t>
  </si>
  <si>
    <t>Кузнецова Алиса Ивановна</t>
  </si>
  <si>
    <t>2024-05-01</t>
  </si>
  <si>
    <t>2024-05-02</t>
  </si>
  <si>
    <t>Васильева Анна Михайловна</t>
  </si>
  <si>
    <t>2024-05-03</t>
  </si>
  <si>
    <t>2024-05-06</t>
  </si>
  <si>
    <t>2024-05-07</t>
  </si>
  <si>
    <t>2024-05-08</t>
  </si>
  <si>
    <t>Васильева Вероника Станиславовна</t>
  </si>
  <si>
    <t>2024-05-09</t>
  </si>
  <si>
    <t>2024-05-10</t>
  </si>
  <si>
    <t>2024-05-13</t>
  </si>
  <si>
    <t>2024-05-14</t>
  </si>
  <si>
    <t>Козлова Елена Павловна</t>
  </si>
  <si>
    <t>2024-05-15</t>
  </si>
  <si>
    <t>2024-05-16</t>
  </si>
  <si>
    <t>Новиков Георгий Викторович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</si>
  <si>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</si>
  <si>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</si>
  <si>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</si>
  <si>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</si>
  <si>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</si>
  <si>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</si>
  <si>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</si>
  <si>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</si>
  <si>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</si>
  <si>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</si>
  <si>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</si>
  <si>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Попова София Егоровна</t>
  </si>
  <si>
    <t>2024-06-04</t>
  </si>
  <si>
    <t>2024-06-05</t>
  </si>
  <si>
    <t>2024-06-06</t>
  </si>
  <si>
    <t>2024-06-07</t>
  </si>
  <si>
    <t>2024-06-10</t>
  </si>
  <si>
    <t>2024-06-12</t>
  </si>
  <si>
    <t>2024-06-13</t>
  </si>
  <si>
    <t>Новикова Виктория Станиславовна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</si>
  <si>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</si>
  <si>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</si>
  <si>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</si>
  <si>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</si>
  <si>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</si>
  <si>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</si>
  <si>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</si>
  <si>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</si>
  <si>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</si>
  <si>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</si>
  <si>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</si>
  <si>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Павлова Светлана Михайловна</t>
  </si>
  <si>
    <t>2024-07-02</t>
  </si>
  <si>
    <t>2024-07-04</t>
  </si>
  <si>
    <t>2024-07-05</t>
  </si>
  <si>
    <t>2024-07-08</t>
  </si>
  <si>
    <t>Семенова Елена Викторовна</t>
  </si>
  <si>
    <t>2024-07-09</t>
  </si>
  <si>
    <t>2024-07-10</t>
  </si>
  <si>
    <t>2024-07-11</t>
  </si>
  <si>
    <t>2024-07-12</t>
  </si>
  <si>
    <t>2024-07-15</t>
  </si>
  <si>
    <t>Николаев Михаил Ильич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</si>
  <si>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</si>
  <si>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</si>
  <si>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</si>
  <si>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</si>
  <si>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</si>
  <si>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</si>
  <si>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</si>
  <si>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</si>
  <si>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</si>
  <si>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</si>
  <si>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</si>
  <si>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</si>
  <si>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</si>
  <si>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</si>
  <si>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</si>
  <si>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</si>
  <si>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</si>
  <si>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</si>
  <si>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</si>
  <si>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</si>
  <si>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</si>
  <si>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</si>
  <si>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</si>
  <si>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</si>
  <si>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</si>
  <si>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</si>
  <si>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</si>
  <si>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</si>
  <si>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</si>
  <si>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</si>
  <si>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</si>
  <si>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</si>
  <si>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</si>
  <si>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ABC-анализ менеджеров</t>
  </si>
  <si>
    <t>Менеджеры по алфавиту; суммы, количество сделок, NPS и ABC-категории рассчитываются формулами по листу «Данные».</t>
  </si>
  <si>
    <t>№</t>
  </si>
  <si>
    <t>Сумма сделок</t>
  </si>
  <si>
    <t>Количество сделок</t>
  </si>
  <si>
    <t>ABC по сумме</t>
  </si>
  <si>
    <t>ABC по количеству</t>
  </si>
  <si>
    <t>Средний NPS</t>
  </si>
  <si>
    <t>Ранг</t>
  </si>
  <si>
    <t>Менеджер</t>
  </si>
  <si>
    <t>Сумма</t>
  </si>
  <si>
    <t>Накопительная сумма</t>
  </si>
  <si>
    <t>Накопительная доля</t>
  </si>
  <si>
    <t>Количество</t>
  </si>
  <si>
    <t>Накопительное количество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</si>
  <si>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</si>
  <si>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</si>
  <si>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</si>
  <si>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</si>
  <si>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</si>
  <si>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</si>
  <si>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</si>
  <si>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</si>
  <si>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</si>
  <si>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</si>
  <si>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</si>
  <si>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</si>
  <si>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</si>
  <si>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</si>
  <si>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</si>
  <si>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</si>
  <si>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</si>
  <si>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</si>
  <si>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</si>
  <si>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</si>
  <si>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</si>
  <si>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</si>
  <si>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</si>
  <si>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</si>
  <si>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</si>
  <si>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</si>
  <si>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</si>
  <si>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</si>
  <si>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</si>
  <si>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</si>
  <si>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</si>
  <si>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</si>
  <si>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</si>
  <si>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</si>
  <si>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C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</si>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</sst>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</numFmts>
  <fonts count="27">
    <font>
      <sz val="11"/>
      <color theme="1"/>
      <name val="Calibri"/>
      <charset val="1"/>
    </font>
    <font>
      <b/>
      <sz val="11"/>
      <color theme="1"/>
      <name val="Calibri"/>
      <charset val="204"/>
    </font>
    <font>
      <b/>
      <sz val="14"/>
      <name val="Cambria"/>
      <charset val="1"/>
    </font>
    <font>
      <i/>
      <sz val="10"/>
      <name val="Cambria"/>
      <charset val="1"/>
    </font>
    <font>
      <b/>
      <sz val="11"/>
      <name val="Cambria"/>
      <charset val="1"/>
    </font>
    <font>
      <b/>
      <sz val="11"/>
      <name val="Calibri"/>
      <charset val="20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5999"/>
        <bgColor rgb="FFFFC7CE"/>
      </patternFill>
    </fill>
    <fill>
      <patternFill patternType="solid">
        <fgColor theme="7" tint="0.5999"/>
        <bgColor rgb="FFB7B7B7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176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177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0" applyFont="1" applyBorder="1"/>
    <xf numFmtId="0" fontId="4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/>
    </xf>
    <xf numFmtId="4" fontId="0" fillId="0" borderId="3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10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left" vertical="center"/>
    </xf>
    <xf numFmtId="4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Font="1" applyBorder="1"/>
    <xf numFmtId="0" fontId="5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0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D9EAF7"/>
      <rgbColor rgb="00660066"/>
      <rgbColor rgb="00FF8080"/>
      <rgbColor rgb="000066CC"/>
      <rgbColor rgb="00CCC1DA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F0D9"/>
      <rgbColor rgb="00C6EFCE"/>
      <rgbColor rgb="00FFEB9C"/>
      <rgbColor rgb="0099CCFF"/>
      <rgbColor rgb="00FFC7CE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workbookViewId="0">
      <selection activeCell="A1" sqref="A1"/>
    </sheetView>
  </sheetViews>
  <sheetFormatPr defaultColWidth="8.67592592592593" defaultRowHeight="14.25" customHeight="1" outlineLevelCol="4"/>
  <cols>
    <col min="1" max="2" width="33" customWidth="1"/>
    <col min="3" max="3" width="12" customWidth="1"/>
    <col min="4" max="4" width="15" customWidth="1"/>
    <col min="5" max="5" width="5" customWidth="1"/>
  </cols>
  <sheetData>
    <row r="1" customHeight="1" spans="1: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customHeight="1" spans="1:5">
      <c r="A2" t="s">
        <v>5</v>
      </c>
      <c r="B2" t="s">
        <v>6</v>
      </c>
      <c r="C2" t="s">
        <v>7</v>
      </c>
      <c r="D2">
        <v>60292</v>
      </c>
      <c r="E2">
        <v>4</v>
      </c>
    </row>
    <row r="3" customHeight="1" spans="1:5">
      <c r="A3" t="s">
        <v>8</v>
      </c>
      <c r="B3" t="s">
        <v>9</v>
      </c>
      <c r="C3" t="s">
        <v>7</v>
      </c>
      <c r="D3">
        <v>70490</v>
      </c>
      <c r="E3">
        <v>7</v>
      </c>
    </row>
    <row r="4" customHeight="1" spans="1:5">
      <c r="A4" t="s">
        <v>10</v>
      </c>
      <c r="B4" t="s">
        <v>11</v>
      </c>
      <c r="C4" t="s">
        <v>7</v>
      </c>
      <c r="D4">
        <v>56255</v>
      </c>
      <c r="E4">
        <v>8</v>
      </c>
    </row>
    <row r="5" customHeight="1" spans="1:5">
      <c r="A5" t="s">
        <v>12</v>
      </c>
      <c r="B5" t="s">
        <v>13</v>
      </c>
      <c r="C5" t="s">
        <v>7</v>
      </c>
      <c r="D5">
        <v>79752</v>
      </c>
      <c r="E5">
        <v>9</v>
      </c>
    </row>
    <row r="6" customHeight="1" spans="1:5">
      <c r="A6" t="s">
        <v>14</v>
      </c>
      <c r="B6" t="s">
        <v>15</v>
      </c>
      <c r="C6" t="s">
        <v>16</v>
      </c>
      <c r="D6">
        <v>98947</v>
      </c>
      <c r="E6">
        <v>4</v>
      </c>
    </row>
    <row r="7" customHeight="1" spans="1:5">
      <c r="A7" t="s">
        <v>17</v>
      </c>
      <c r="B7" t="s">
        <v>18</v>
      </c>
      <c r="C7" t="s">
        <v>16</v>
      </c>
      <c r="D7">
        <v>27615</v>
      </c>
      <c r="E7">
        <v>3</v>
      </c>
    </row>
    <row r="8" customHeight="1" spans="1:5">
      <c r="A8" t="s">
        <v>19</v>
      </c>
      <c r="B8" t="s">
        <v>20</v>
      </c>
      <c r="C8" t="s">
        <v>16</v>
      </c>
      <c r="D8">
        <v>55619</v>
      </c>
      <c r="E8">
        <v>9</v>
      </c>
    </row>
    <row r="9" customHeight="1" spans="1:5">
      <c r="A9" t="s">
        <v>21</v>
      </c>
      <c r="B9" t="s">
        <v>22</v>
      </c>
      <c r="C9" t="s">
        <v>16</v>
      </c>
      <c r="D9">
        <v>79128</v>
      </c>
      <c r="E9">
        <v>0</v>
      </c>
    </row>
    <row r="10" customHeight="1" spans="1:5">
      <c r="A10" t="s">
        <v>21</v>
      </c>
      <c r="B10" t="s">
        <v>23</v>
      </c>
      <c r="C10" t="s">
        <v>16</v>
      </c>
      <c r="D10">
        <v>61819</v>
      </c>
      <c r="E10">
        <v>8</v>
      </c>
    </row>
    <row r="11" customHeight="1" spans="1:5">
      <c r="A11" t="s">
        <v>8</v>
      </c>
      <c r="B11" t="s">
        <v>24</v>
      </c>
      <c r="C11" t="s">
        <v>16</v>
      </c>
      <c r="D11">
        <v>83505</v>
      </c>
      <c r="E11">
        <v>10</v>
      </c>
    </row>
    <row r="12" customHeight="1" spans="1:5">
      <c r="A12" t="s">
        <v>5</v>
      </c>
      <c r="B12" t="s">
        <v>25</v>
      </c>
      <c r="C12" t="s">
        <v>16</v>
      </c>
      <c r="D12">
        <v>81509</v>
      </c>
      <c r="E12">
        <v>6</v>
      </c>
    </row>
    <row r="13" customHeight="1" spans="1:5">
      <c r="A13" t="s">
        <v>10</v>
      </c>
      <c r="B13" t="s">
        <v>26</v>
      </c>
      <c r="C13" t="s">
        <v>27</v>
      </c>
      <c r="D13">
        <v>68137</v>
      </c>
      <c r="E13">
        <v>9</v>
      </c>
    </row>
    <row r="14" customHeight="1" spans="1:5">
      <c r="A14" t="s">
        <v>19</v>
      </c>
      <c r="B14" t="s">
        <v>28</v>
      </c>
      <c r="C14" t="s">
        <v>27</v>
      </c>
      <c r="D14">
        <v>61394</v>
      </c>
      <c r="E14">
        <v>9</v>
      </c>
    </row>
    <row r="15" customHeight="1" spans="1:5">
      <c r="A15" t="s">
        <v>8</v>
      </c>
      <c r="B15" t="s">
        <v>29</v>
      </c>
      <c r="C15" t="s">
        <v>27</v>
      </c>
      <c r="D15">
        <v>30204</v>
      </c>
      <c r="E15">
        <v>5</v>
      </c>
    </row>
    <row r="16" customHeight="1" spans="1:5">
      <c r="A16" t="s">
        <v>30</v>
      </c>
      <c r="B16" t="s">
        <v>31</v>
      </c>
      <c r="C16" t="s">
        <v>32</v>
      </c>
      <c r="D16">
        <v>36961</v>
      </c>
      <c r="E16">
        <v>7</v>
      </c>
    </row>
    <row r="17" customHeight="1" spans="1:5">
      <c r="A17" t="s">
        <v>33</v>
      </c>
      <c r="B17" t="s">
        <v>34</v>
      </c>
      <c r="C17" t="s">
        <v>32</v>
      </c>
      <c r="D17">
        <v>17308</v>
      </c>
      <c r="E17">
        <v>7</v>
      </c>
    </row>
    <row r="18" customHeight="1" spans="1:5">
      <c r="A18" t="s">
        <v>8</v>
      </c>
      <c r="B18" t="s">
        <v>20</v>
      </c>
      <c r="C18" t="s">
        <v>32</v>
      </c>
      <c r="D18">
        <v>84881</v>
      </c>
      <c r="E18">
        <v>1</v>
      </c>
    </row>
    <row r="19" customHeight="1" spans="1:5">
      <c r="A19" t="s">
        <v>35</v>
      </c>
      <c r="B19" t="s">
        <v>20</v>
      </c>
      <c r="C19" t="s">
        <v>36</v>
      </c>
      <c r="D19">
        <v>74943</v>
      </c>
      <c r="E19">
        <v>10</v>
      </c>
    </row>
    <row r="20" customHeight="1" spans="1:5">
      <c r="A20" t="s">
        <v>5</v>
      </c>
      <c r="B20" t="s">
        <v>13</v>
      </c>
      <c r="C20" t="s">
        <v>36</v>
      </c>
      <c r="D20">
        <v>18027</v>
      </c>
      <c r="E20">
        <v>6</v>
      </c>
    </row>
    <row r="21" customHeight="1" spans="1:5">
      <c r="A21" t="s">
        <v>12</v>
      </c>
      <c r="B21" t="s">
        <v>37</v>
      </c>
      <c r="C21" t="s">
        <v>36</v>
      </c>
      <c r="D21">
        <v>87513</v>
      </c>
      <c r="E21">
        <v>5</v>
      </c>
    </row>
    <row r="22" customHeight="1" spans="1:5">
      <c r="A22" t="s">
        <v>12</v>
      </c>
      <c r="B22" t="s">
        <v>38</v>
      </c>
      <c r="C22" t="s">
        <v>39</v>
      </c>
      <c r="D22">
        <v>65297</v>
      </c>
      <c r="E22">
        <v>3</v>
      </c>
    </row>
    <row r="23" customHeight="1" spans="1:5">
      <c r="A23" t="s">
        <v>30</v>
      </c>
      <c r="B23" t="s">
        <v>40</v>
      </c>
      <c r="C23" t="s">
        <v>39</v>
      </c>
      <c r="D23">
        <v>73002</v>
      </c>
      <c r="E23">
        <v>7</v>
      </c>
    </row>
    <row r="24" customHeight="1" spans="1:5">
      <c r="A24" t="s">
        <v>5</v>
      </c>
      <c r="B24" t="s">
        <v>41</v>
      </c>
      <c r="C24" t="s">
        <v>39</v>
      </c>
      <c r="D24">
        <v>96180</v>
      </c>
      <c r="E24">
        <v>6</v>
      </c>
    </row>
    <row r="25" customHeight="1" spans="1:5">
      <c r="A25" t="s">
        <v>5</v>
      </c>
      <c r="B25" t="s">
        <v>6</v>
      </c>
      <c r="C25" t="s">
        <v>42</v>
      </c>
      <c r="D25">
        <v>64402</v>
      </c>
      <c r="E25">
        <v>5</v>
      </c>
    </row>
    <row r="26" customHeight="1" spans="1:5">
      <c r="A26" t="s">
        <v>12</v>
      </c>
      <c r="B26" t="s">
        <v>43</v>
      </c>
      <c r="C26" t="s">
        <v>42</v>
      </c>
      <c r="D26">
        <v>15239</v>
      </c>
      <c r="E26">
        <v>8</v>
      </c>
    </row>
    <row r="27" customHeight="1" spans="1:5">
      <c r="A27" t="s">
        <v>21</v>
      </c>
      <c r="B27" t="s">
        <v>44</v>
      </c>
      <c r="C27" t="s">
        <v>42</v>
      </c>
      <c r="D27">
        <v>47417</v>
      </c>
      <c r="E27">
        <v>3</v>
      </c>
    </row>
    <row r="28" customHeight="1" spans="1:5">
      <c r="A28" t="s">
        <v>30</v>
      </c>
      <c r="B28" t="s">
        <v>45</v>
      </c>
      <c r="C28" t="s">
        <v>42</v>
      </c>
      <c r="D28">
        <v>23494</v>
      </c>
      <c r="E28">
        <v>7</v>
      </c>
    </row>
    <row r="29" customHeight="1" spans="1:5">
      <c r="A29" t="s">
        <v>14</v>
      </c>
      <c r="B29" t="s">
        <v>46</v>
      </c>
      <c r="C29" t="s">
        <v>42</v>
      </c>
      <c r="D29">
        <v>23314</v>
      </c>
      <c r="E29">
        <v>3</v>
      </c>
    </row>
    <row r="30" customHeight="1" spans="1:5">
      <c r="A30" t="s">
        <v>10</v>
      </c>
      <c r="B30" t="s">
        <v>47</v>
      </c>
      <c r="C30" t="s">
        <v>42</v>
      </c>
      <c r="D30">
        <v>84283</v>
      </c>
      <c r="E30">
        <v>6</v>
      </c>
    </row>
    <row r="31" customHeight="1" spans="1:5">
      <c r="A31" t="s">
        <v>48</v>
      </c>
      <c r="B31" t="s">
        <v>49</v>
      </c>
      <c r="C31" t="s">
        <v>42</v>
      </c>
      <c r="D31">
        <v>60826</v>
      </c>
      <c r="E31">
        <v>5</v>
      </c>
    </row>
    <row r="32" customHeight="1" spans="1:5">
      <c r="A32" t="s">
        <v>33</v>
      </c>
      <c r="B32" t="s">
        <v>50</v>
      </c>
      <c r="C32" t="s">
        <v>51</v>
      </c>
      <c r="D32">
        <v>72535</v>
      </c>
      <c r="E32">
        <v>6</v>
      </c>
    </row>
    <row r="33" customHeight="1" spans="1:5">
      <c r="A33" t="s">
        <v>5</v>
      </c>
      <c r="B33" t="s">
        <v>52</v>
      </c>
      <c r="C33" t="s">
        <v>53</v>
      </c>
      <c r="D33">
        <v>10437</v>
      </c>
      <c r="E33">
        <v>4</v>
      </c>
    </row>
    <row r="34" customHeight="1" spans="1:5">
      <c r="A34" t="s">
        <v>21</v>
      </c>
      <c r="B34" t="s">
        <v>54</v>
      </c>
      <c r="C34" t="s">
        <v>53</v>
      </c>
      <c r="D34">
        <v>62656</v>
      </c>
      <c r="E34">
        <v>8</v>
      </c>
    </row>
    <row r="35" customHeight="1" spans="1:5">
      <c r="A35" t="s">
        <v>10</v>
      </c>
      <c r="B35" t="s">
        <v>55</v>
      </c>
      <c r="C35" t="s">
        <v>53</v>
      </c>
      <c r="D35">
        <v>36602</v>
      </c>
      <c r="E35">
        <v>10</v>
      </c>
    </row>
    <row r="36" customHeight="1" spans="1:5">
      <c r="A36" t="s">
        <v>48</v>
      </c>
      <c r="B36" t="s">
        <v>56</v>
      </c>
      <c r="C36" t="s">
        <v>57</v>
      </c>
      <c r="D36">
        <v>37735</v>
      </c>
      <c r="E36">
        <v>2</v>
      </c>
    </row>
    <row r="37" customHeight="1" spans="1:5">
      <c r="A37" t="s">
        <v>33</v>
      </c>
      <c r="B37" t="s">
        <v>58</v>
      </c>
      <c r="C37" t="s">
        <v>57</v>
      </c>
      <c r="D37">
        <v>39668</v>
      </c>
      <c r="E37">
        <v>8</v>
      </c>
    </row>
    <row r="38" customHeight="1" spans="1:5">
      <c r="A38" t="s">
        <v>19</v>
      </c>
      <c r="B38" t="s">
        <v>45</v>
      </c>
      <c r="C38" t="s">
        <v>57</v>
      </c>
      <c r="D38">
        <v>24453</v>
      </c>
      <c r="E38">
        <v>7</v>
      </c>
    </row>
    <row r="39" customHeight="1" spans="1:5">
      <c r="A39" t="s">
        <v>8</v>
      </c>
      <c r="B39" t="s">
        <v>59</v>
      </c>
      <c r="C39" t="s">
        <v>60</v>
      </c>
      <c r="D39">
        <v>82772</v>
      </c>
      <c r="E39">
        <v>6</v>
      </c>
    </row>
    <row r="40" customHeight="1" spans="1:5">
      <c r="A40" t="s">
        <v>17</v>
      </c>
      <c r="B40" t="s">
        <v>61</v>
      </c>
      <c r="C40" t="s">
        <v>62</v>
      </c>
      <c r="D40">
        <v>35214</v>
      </c>
      <c r="E40">
        <v>3</v>
      </c>
    </row>
    <row r="41" customHeight="1" spans="1:5">
      <c r="A41" t="s">
        <v>5</v>
      </c>
      <c r="B41" t="s">
        <v>63</v>
      </c>
      <c r="C41" t="s">
        <v>62</v>
      </c>
      <c r="D41">
        <v>48266</v>
      </c>
      <c r="E41">
        <v>8</v>
      </c>
    </row>
    <row r="42" customHeight="1" spans="1:5">
      <c r="A42" t="s">
        <v>19</v>
      </c>
      <c r="B42" t="s">
        <v>64</v>
      </c>
      <c r="C42" t="s">
        <v>62</v>
      </c>
      <c r="D42">
        <v>85589</v>
      </c>
      <c r="E42">
        <v>10</v>
      </c>
    </row>
    <row r="43" customHeight="1" spans="1:5">
      <c r="A43" t="s">
        <v>33</v>
      </c>
      <c r="B43" t="s">
        <v>65</v>
      </c>
      <c r="C43" t="s">
        <v>62</v>
      </c>
      <c r="D43">
        <v>95001</v>
      </c>
      <c r="E43">
        <v>3</v>
      </c>
    </row>
    <row r="44" customHeight="1" spans="1:5">
      <c r="A44" t="s">
        <v>12</v>
      </c>
      <c r="B44" t="s">
        <v>66</v>
      </c>
      <c r="C44" t="s">
        <v>62</v>
      </c>
      <c r="D44">
        <v>19263</v>
      </c>
      <c r="E44">
        <v>2</v>
      </c>
    </row>
    <row r="45" customHeight="1" spans="1:5">
      <c r="A45" t="s">
        <v>21</v>
      </c>
      <c r="B45" t="s">
        <v>22</v>
      </c>
      <c r="C45" t="s">
        <v>62</v>
      </c>
      <c r="D45">
        <v>51909</v>
      </c>
      <c r="E45">
        <v>7</v>
      </c>
    </row>
    <row r="46" customHeight="1" spans="1:5">
      <c r="A46" t="s">
        <v>21</v>
      </c>
      <c r="B46" t="s">
        <v>67</v>
      </c>
      <c r="C46" t="s">
        <v>62</v>
      </c>
      <c r="D46">
        <v>31044</v>
      </c>
      <c r="E46">
        <v>4</v>
      </c>
    </row>
    <row r="47" customHeight="1" spans="1:5">
      <c r="A47" t="s">
        <v>48</v>
      </c>
      <c r="B47" t="s">
        <v>68</v>
      </c>
      <c r="C47" t="s">
        <v>69</v>
      </c>
      <c r="D47">
        <v>33672</v>
      </c>
      <c r="E47">
        <v>7</v>
      </c>
    </row>
    <row r="48" customHeight="1" spans="1:5">
      <c r="A48" t="s">
        <v>5</v>
      </c>
      <c r="B48" t="s">
        <v>70</v>
      </c>
      <c r="C48" t="s">
        <v>71</v>
      </c>
      <c r="D48">
        <v>24711</v>
      </c>
      <c r="E48">
        <v>8</v>
      </c>
    </row>
    <row r="49" customHeight="1" spans="1:5">
      <c r="A49" t="s">
        <v>14</v>
      </c>
      <c r="B49" t="s">
        <v>72</v>
      </c>
      <c r="C49" t="s">
        <v>73</v>
      </c>
      <c r="D49">
        <v>56507</v>
      </c>
      <c r="E49">
        <v>5</v>
      </c>
    </row>
    <row r="50" customHeight="1" spans="1:5">
      <c r="A50" t="s">
        <v>21</v>
      </c>
      <c r="B50" t="s">
        <v>55</v>
      </c>
      <c r="C50" t="s">
        <v>74</v>
      </c>
      <c r="D50">
        <v>95625</v>
      </c>
      <c r="E50">
        <v>5</v>
      </c>
    </row>
    <row r="51" customHeight="1" spans="1:5">
      <c r="A51" t="s">
        <v>19</v>
      </c>
      <c r="B51" t="s">
        <v>75</v>
      </c>
      <c r="C51" t="s">
        <v>74</v>
      </c>
      <c r="D51">
        <v>53505</v>
      </c>
      <c r="E51">
        <v>6</v>
      </c>
    </row>
    <row r="52" customHeight="1" spans="1:5">
      <c r="A52" t="s">
        <v>17</v>
      </c>
      <c r="B52" t="s">
        <v>76</v>
      </c>
      <c r="C52" t="s">
        <v>74</v>
      </c>
      <c r="D52">
        <v>79693</v>
      </c>
      <c r="E52">
        <v>6</v>
      </c>
    </row>
    <row r="53" customHeight="1" spans="1:5">
      <c r="A53" t="s">
        <v>48</v>
      </c>
      <c r="B53" t="s">
        <v>77</v>
      </c>
      <c r="C53" t="s">
        <v>74</v>
      </c>
      <c r="D53">
        <v>55564</v>
      </c>
      <c r="E53">
        <v>4</v>
      </c>
    </row>
    <row r="54" customHeight="1" spans="1:5">
      <c r="A54" t="s">
        <v>33</v>
      </c>
      <c r="B54" t="s">
        <v>78</v>
      </c>
      <c r="C54" t="s">
        <v>79</v>
      </c>
      <c r="D54">
        <v>67795</v>
      </c>
      <c r="E54">
        <v>6</v>
      </c>
    </row>
    <row r="55" customHeight="1" spans="1:5">
      <c r="A55" t="s">
        <v>14</v>
      </c>
      <c r="B55" t="s">
        <v>80</v>
      </c>
      <c r="C55" t="s">
        <v>79</v>
      </c>
      <c r="D55">
        <v>37346</v>
      </c>
      <c r="E55">
        <v>8</v>
      </c>
    </row>
    <row r="56" customHeight="1" spans="1:5">
      <c r="A56" t="s">
        <v>33</v>
      </c>
      <c r="B56" t="s">
        <v>81</v>
      </c>
      <c r="C56" t="s">
        <v>79</v>
      </c>
      <c r="D56">
        <v>71686</v>
      </c>
      <c r="E56">
        <v>5</v>
      </c>
    </row>
    <row r="57" customHeight="1" spans="1:5">
      <c r="A57" t="s">
        <v>35</v>
      </c>
      <c r="B57" t="s">
        <v>82</v>
      </c>
      <c r="C57" t="s">
        <v>79</v>
      </c>
      <c r="D57">
        <v>16334</v>
      </c>
      <c r="E57">
        <v>4</v>
      </c>
    </row>
    <row r="58" customHeight="1" spans="1:5">
      <c r="A58" t="s">
        <v>33</v>
      </c>
      <c r="B58" t="s">
        <v>83</v>
      </c>
      <c r="C58" t="s">
        <v>79</v>
      </c>
      <c r="D58">
        <v>52961</v>
      </c>
      <c r="E58">
        <v>9</v>
      </c>
    </row>
    <row r="59" customHeight="1" spans="1:5">
      <c r="A59" t="s">
        <v>10</v>
      </c>
      <c r="B59" t="s">
        <v>20</v>
      </c>
      <c r="C59" t="s">
        <v>79</v>
      </c>
      <c r="D59">
        <v>45301</v>
      </c>
      <c r="E59">
        <v>0</v>
      </c>
    </row>
    <row r="60" customHeight="1" spans="1:5">
      <c r="A60" t="s">
        <v>35</v>
      </c>
      <c r="B60" t="s">
        <v>64</v>
      </c>
      <c r="C60" t="s">
        <v>84</v>
      </c>
      <c r="D60">
        <v>16512</v>
      </c>
      <c r="E60">
        <v>6</v>
      </c>
    </row>
    <row r="61" customHeight="1" spans="1:5">
      <c r="A61" t="s">
        <v>8</v>
      </c>
      <c r="B61" t="s">
        <v>85</v>
      </c>
      <c r="C61" t="s">
        <v>84</v>
      </c>
      <c r="D61">
        <v>12929</v>
      </c>
      <c r="E61">
        <v>5</v>
      </c>
    </row>
    <row r="62" customHeight="1" spans="1:5">
      <c r="A62" t="s">
        <v>12</v>
      </c>
      <c r="B62" t="s">
        <v>86</v>
      </c>
      <c r="C62" t="s">
        <v>84</v>
      </c>
      <c r="D62">
        <v>54762</v>
      </c>
      <c r="E62">
        <v>6</v>
      </c>
    </row>
    <row r="63" customHeight="1" spans="1:5">
      <c r="A63" t="s">
        <v>8</v>
      </c>
      <c r="B63" t="s">
        <v>87</v>
      </c>
      <c r="C63" t="s">
        <v>84</v>
      </c>
      <c r="D63">
        <v>64475</v>
      </c>
      <c r="E63">
        <v>7</v>
      </c>
    </row>
    <row r="64" customHeight="1" spans="1:5">
      <c r="A64" t="s">
        <v>21</v>
      </c>
      <c r="B64" t="s">
        <v>88</v>
      </c>
      <c r="C64" t="s">
        <v>84</v>
      </c>
      <c r="D64">
        <v>89493</v>
      </c>
      <c r="E64">
        <v>7</v>
      </c>
    </row>
    <row r="65" customHeight="1" spans="1:5">
      <c r="A65" t="s">
        <v>35</v>
      </c>
      <c r="B65" t="s">
        <v>89</v>
      </c>
      <c r="C65" t="s">
        <v>90</v>
      </c>
      <c r="D65">
        <v>71589</v>
      </c>
      <c r="E65">
        <v>2</v>
      </c>
    </row>
    <row r="66" customHeight="1" spans="1:5">
      <c r="A66" t="s">
        <v>8</v>
      </c>
      <c r="B66" t="s">
        <v>72</v>
      </c>
      <c r="C66" t="s">
        <v>90</v>
      </c>
      <c r="D66">
        <v>33879</v>
      </c>
      <c r="E66">
        <v>7</v>
      </c>
    </row>
    <row r="67" customHeight="1" spans="1:5">
      <c r="A67" t="s">
        <v>14</v>
      </c>
      <c r="B67" t="s">
        <v>91</v>
      </c>
      <c r="C67" t="s">
        <v>90</v>
      </c>
      <c r="D67">
        <v>38357</v>
      </c>
      <c r="E67">
        <v>7</v>
      </c>
    </row>
    <row r="68" customHeight="1" spans="1:5">
      <c r="A68" t="s">
        <v>14</v>
      </c>
      <c r="B68" t="s">
        <v>92</v>
      </c>
      <c r="C68" t="s">
        <v>93</v>
      </c>
      <c r="D68">
        <v>10766</v>
      </c>
      <c r="E68">
        <v>7</v>
      </c>
    </row>
    <row r="69" customHeight="1" spans="1:5">
      <c r="A69" t="s">
        <v>14</v>
      </c>
      <c r="B69" t="s">
        <v>91</v>
      </c>
      <c r="C69" t="s">
        <v>93</v>
      </c>
      <c r="D69">
        <v>35833</v>
      </c>
      <c r="E69">
        <v>8</v>
      </c>
    </row>
    <row r="70" customHeight="1" spans="1:5">
      <c r="A70" t="s">
        <v>5</v>
      </c>
      <c r="B70" t="s">
        <v>94</v>
      </c>
      <c r="C70" t="s">
        <v>95</v>
      </c>
      <c r="D70">
        <v>76886</v>
      </c>
      <c r="E70">
        <v>2</v>
      </c>
    </row>
    <row r="71" customHeight="1" spans="1:5">
      <c r="A71" t="s">
        <v>17</v>
      </c>
      <c r="B71" t="s">
        <v>96</v>
      </c>
      <c r="C71" t="s">
        <v>95</v>
      </c>
      <c r="D71">
        <v>89692</v>
      </c>
      <c r="E71">
        <v>0</v>
      </c>
    </row>
    <row r="72" customHeight="1" spans="1:5">
      <c r="A72" t="s">
        <v>30</v>
      </c>
      <c r="B72" t="s">
        <v>97</v>
      </c>
      <c r="C72" t="s">
        <v>95</v>
      </c>
      <c r="D72">
        <v>88098</v>
      </c>
      <c r="E72">
        <v>6</v>
      </c>
    </row>
    <row r="73" customHeight="1" spans="1:5">
      <c r="A73" t="s">
        <v>33</v>
      </c>
      <c r="B73" t="s">
        <v>98</v>
      </c>
      <c r="C73" t="s">
        <v>95</v>
      </c>
      <c r="D73">
        <v>33890</v>
      </c>
      <c r="E73">
        <v>9</v>
      </c>
    </row>
    <row r="74" customHeight="1" spans="1:5">
      <c r="A74" t="s">
        <v>17</v>
      </c>
      <c r="B74" t="s">
        <v>99</v>
      </c>
      <c r="C74" t="s">
        <v>95</v>
      </c>
      <c r="D74">
        <v>78800</v>
      </c>
      <c r="E74">
        <v>8</v>
      </c>
    </row>
    <row r="75" customHeight="1" spans="1:5">
      <c r="A75" t="s">
        <v>14</v>
      </c>
      <c r="B75" t="s">
        <v>81</v>
      </c>
      <c r="C75" t="s">
        <v>100</v>
      </c>
      <c r="D75">
        <v>78001</v>
      </c>
      <c r="E75">
        <v>2</v>
      </c>
    </row>
    <row r="76" customHeight="1" spans="1:5">
      <c r="A76" t="s">
        <v>14</v>
      </c>
      <c r="B76" t="s">
        <v>101</v>
      </c>
      <c r="C76" t="s">
        <v>100</v>
      </c>
      <c r="D76">
        <v>52093</v>
      </c>
      <c r="E76">
        <v>9</v>
      </c>
    </row>
    <row r="77" customHeight="1" spans="1:5">
      <c r="A77" t="s">
        <v>35</v>
      </c>
      <c r="B77" t="s">
        <v>102</v>
      </c>
      <c r="C77" t="s">
        <v>100</v>
      </c>
      <c r="D77">
        <v>87260</v>
      </c>
      <c r="E77">
        <v>5</v>
      </c>
    </row>
    <row r="78" customHeight="1" spans="1:5">
      <c r="A78" t="s">
        <v>21</v>
      </c>
      <c r="B78" t="s">
        <v>22</v>
      </c>
      <c r="C78" t="s">
        <v>100</v>
      </c>
      <c r="D78">
        <v>56141</v>
      </c>
      <c r="E78">
        <v>9</v>
      </c>
    </row>
    <row r="79" customHeight="1" spans="1:5">
      <c r="A79" t="s">
        <v>17</v>
      </c>
      <c r="B79" t="s">
        <v>103</v>
      </c>
      <c r="C79" t="s">
        <v>100</v>
      </c>
      <c r="D79">
        <v>98263</v>
      </c>
      <c r="E79">
        <v>7</v>
      </c>
    </row>
    <row r="80" customHeight="1" spans="1:5">
      <c r="A80" t="s">
        <v>14</v>
      </c>
      <c r="B80" t="s">
        <v>99</v>
      </c>
      <c r="C80" t="s">
        <v>100</v>
      </c>
      <c r="D80">
        <v>36691</v>
      </c>
      <c r="E80">
        <v>3</v>
      </c>
    </row>
    <row r="81" customHeight="1" spans="1:5">
      <c r="A81" t="s">
        <v>33</v>
      </c>
      <c r="B81" t="s">
        <v>97</v>
      </c>
      <c r="C81" t="s">
        <v>100</v>
      </c>
      <c r="D81">
        <v>70936</v>
      </c>
      <c r="E81">
        <v>3</v>
      </c>
    </row>
    <row r="82" customHeight="1" spans="1:5">
      <c r="A82" t="s">
        <v>30</v>
      </c>
      <c r="B82" t="s">
        <v>104</v>
      </c>
      <c r="C82" t="s">
        <v>100</v>
      </c>
      <c r="D82">
        <v>96624</v>
      </c>
      <c r="E82">
        <v>9</v>
      </c>
    </row>
    <row r="83" customHeight="1" spans="1:5">
      <c r="A83" t="s">
        <v>17</v>
      </c>
      <c r="B83" t="s">
        <v>54</v>
      </c>
      <c r="C83" t="s">
        <v>100</v>
      </c>
      <c r="D83">
        <v>75776</v>
      </c>
      <c r="E83">
        <v>3</v>
      </c>
    </row>
    <row r="84" customHeight="1" spans="1:5">
      <c r="A84" t="s">
        <v>17</v>
      </c>
      <c r="B84" t="s">
        <v>105</v>
      </c>
      <c r="C84" t="s">
        <v>106</v>
      </c>
      <c r="D84">
        <v>64536</v>
      </c>
      <c r="E84">
        <v>10</v>
      </c>
    </row>
    <row r="85" customHeight="1" spans="1:5">
      <c r="A85" t="s">
        <v>5</v>
      </c>
      <c r="B85" t="s">
        <v>82</v>
      </c>
      <c r="C85" t="s">
        <v>106</v>
      </c>
      <c r="D85">
        <v>71231</v>
      </c>
      <c r="E85">
        <v>3</v>
      </c>
    </row>
    <row r="86" customHeight="1" spans="1:5">
      <c r="A86" t="s">
        <v>19</v>
      </c>
      <c r="B86" t="s">
        <v>107</v>
      </c>
      <c r="C86" t="s">
        <v>108</v>
      </c>
      <c r="D86">
        <v>21814</v>
      </c>
      <c r="E86">
        <v>1</v>
      </c>
    </row>
    <row r="87" customHeight="1" spans="1:5">
      <c r="A87" t="s">
        <v>35</v>
      </c>
      <c r="B87" t="s">
        <v>76</v>
      </c>
      <c r="C87" t="s">
        <v>108</v>
      </c>
      <c r="D87">
        <v>59190</v>
      </c>
      <c r="E87">
        <v>1</v>
      </c>
    </row>
    <row r="88" customHeight="1" spans="1:5">
      <c r="A88" t="s">
        <v>48</v>
      </c>
      <c r="B88" t="s">
        <v>103</v>
      </c>
      <c r="C88" t="s">
        <v>108</v>
      </c>
      <c r="D88">
        <v>21178</v>
      </c>
      <c r="E88">
        <v>4</v>
      </c>
    </row>
    <row r="89" customHeight="1" spans="1:5">
      <c r="A89" t="s">
        <v>35</v>
      </c>
      <c r="B89" t="s">
        <v>109</v>
      </c>
      <c r="C89" t="s">
        <v>108</v>
      </c>
      <c r="D89">
        <v>59031</v>
      </c>
      <c r="E89">
        <v>6</v>
      </c>
    </row>
    <row r="90" customHeight="1" spans="1:5">
      <c r="A90" t="s">
        <v>14</v>
      </c>
      <c r="B90" t="s">
        <v>110</v>
      </c>
      <c r="C90" t="s">
        <v>108</v>
      </c>
      <c r="D90">
        <v>38847</v>
      </c>
      <c r="E90">
        <v>5</v>
      </c>
    </row>
    <row r="91" customHeight="1" spans="1:5">
      <c r="A91" t="s">
        <v>5</v>
      </c>
      <c r="B91" t="s">
        <v>111</v>
      </c>
      <c r="C91" t="s">
        <v>108</v>
      </c>
      <c r="D91">
        <v>89406</v>
      </c>
      <c r="E91">
        <v>7</v>
      </c>
    </row>
    <row r="92" customHeight="1" spans="1:5">
      <c r="A92" t="s">
        <v>17</v>
      </c>
      <c r="B92" t="s">
        <v>101</v>
      </c>
      <c r="C92" t="s">
        <v>112</v>
      </c>
      <c r="D92">
        <v>14570</v>
      </c>
      <c r="E92">
        <v>9</v>
      </c>
    </row>
    <row r="93" customHeight="1" spans="1:5">
      <c r="A93" t="s">
        <v>30</v>
      </c>
      <c r="B93" t="s">
        <v>9</v>
      </c>
      <c r="C93" t="s">
        <v>112</v>
      </c>
      <c r="D93">
        <v>31306</v>
      </c>
      <c r="E93">
        <v>9</v>
      </c>
    </row>
    <row r="94" customHeight="1" spans="1:5">
      <c r="A94" t="s">
        <v>21</v>
      </c>
      <c r="B94" t="s">
        <v>113</v>
      </c>
      <c r="C94" t="s">
        <v>112</v>
      </c>
      <c r="D94">
        <v>77433</v>
      </c>
      <c r="E94">
        <v>6</v>
      </c>
    </row>
    <row r="95" customHeight="1" spans="1:5">
      <c r="A95" t="s">
        <v>5</v>
      </c>
      <c r="B95" t="s">
        <v>114</v>
      </c>
      <c r="C95" t="s">
        <v>112</v>
      </c>
      <c r="D95">
        <v>46871</v>
      </c>
      <c r="E95">
        <v>8</v>
      </c>
    </row>
    <row r="96" customHeight="1" spans="1:5">
      <c r="A96" t="s">
        <v>10</v>
      </c>
      <c r="B96" t="s">
        <v>6</v>
      </c>
      <c r="C96" t="s">
        <v>115</v>
      </c>
      <c r="D96">
        <v>82266</v>
      </c>
      <c r="E96">
        <v>7</v>
      </c>
    </row>
    <row r="97" customHeight="1" spans="1:5">
      <c r="A97" t="s">
        <v>12</v>
      </c>
      <c r="B97" t="s">
        <v>116</v>
      </c>
      <c r="C97" t="s">
        <v>115</v>
      </c>
      <c r="D97">
        <v>35807</v>
      </c>
      <c r="E97">
        <v>10</v>
      </c>
    </row>
    <row r="98" customHeight="1" spans="1:5">
      <c r="A98" t="s">
        <v>5</v>
      </c>
      <c r="B98" t="s">
        <v>88</v>
      </c>
      <c r="C98" t="s">
        <v>115</v>
      </c>
      <c r="D98">
        <v>71286</v>
      </c>
      <c r="E98">
        <v>9</v>
      </c>
    </row>
    <row r="99" customHeight="1" spans="1:5">
      <c r="A99" t="s">
        <v>12</v>
      </c>
      <c r="B99" t="s">
        <v>117</v>
      </c>
      <c r="C99" t="s">
        <v>118</v>
      </c>
      <c r="D99">
        <v>49586</v>
      </c>
      <c r="E99">
        <v>4</v>
      </c>
    </row>
    <row r="100" customHeight="1" spans="1:5">
      <c r="A100" t="s">
        <v>8</v>
      </c>
      <c r="B100" t="s">
        <v>82</v>
      </c>
      <c r="C100" t="s">
        <v>118</v>
      </c>
      <c r="D100">
        <v>46646</v>
      </c>
      <c r="E100">
        <v>5</v>
      </c>
    </row>
    <row r="101" customHeight="1" spans="1:5">
      <c r="A101" t="s">
        <v>48</v>
      </c>
      <c r="B101" t="s">
        <v>23</v>
      </c>
      <c r="C101" t="s">
        <v>118</v>
      </c>
      <c r="D101">
        <v>46390</v>
      </c>
      <c r="E101">
        <v>7</v>
      </c>
    </row>
    <row r="102" customHeight="1" spans="1:5">
      <c r="A102" t="s">
        <v>8</v>
      </c>
      <c r="B102" t="s">
        <v>119</v>
      </c>
      <c r="C102" t="s">
        <v>118</v>
      </c>
      <c r="D102">
        <v>62071</v>
      </c>
      <c r="E102">
        <v>5</v>
      </c>
    </row>
    <row r="103" customHeight="1" spans="1:5">
      <c r="A103" t="s">
        <v>5</v>
      </c>
      <c r="B103" t="s">
        <v>120</v>
      </c>
      <c r="C103" t="s">
        <v>118</v>
      </c>
      <c r="D103">
        <v>53585</v>
      </c>
      <c r="E103">
        <v>7</v>
      </c>
    </row>
    <row r="104" customHeight="1" spans="1:5">
      <c r="A104" t="s">
        <v>5</v>
      </c>
      <c r="B104" t="s">
        <v>113</v>
      </c>
      <c r="C104" t="s">
        <v>118</v>
      </c>
      <c r="D104">
        <v>68121</v>
      </c>
      <c r="E104">
        <v>0</v>
      </c>
    </row>
    <row r="105" customHeight="1" spans="1:5">
      <c r="A105" t="s">
        <v>5</v>
      </c>
      <c r="B105" t="s">
        <v>121</v>
      </c>
      <c r="C105" t="s">
        <v>118</v>
      </c>
      <c r="D105">
        <v>27755</v>
      </c>
      <c r="E105">
        <v>7</v>
      </c>
    </row>
    <row r="106" customHeight="1" spans="1:5">
      <c r="A106" t="s">
        <v>48</v>
      </c>
      <c r="B106" t="s">
        <v>68</v>
      </c>
      <c r="C106" t="s">
        <v>118</v>
      </c>
      <c r="D106">
        <v>53638</v>
      </c>
      <c r="E106">
        <v>8</v>
      </c>
    </row>
    <row r="107" customHeight="1" spans="1:5">
      <c r="A107" t="s">
        <v>17</v>
      </c>
      <c r="B107" t="s">
        <v>111</v>
      </c>
      <c r="C107" t="s">
        <v>118</v>
      </c>
      <c r="D107">
        <v>85681</v>
      </c>
      <c r="E107">
        <v>5</v>
      </c>
    </row>
    <row r="108" customHeight="1" spans="1:5">
      <c r="A108" t="s">
        <v>48</v>
      </c>
      <c r="B108" t="s">
        <v>94</v>
      </c>
      <c r="C108" t="s">
        <v>118</v>
      </c>
      <c r="D108">
        <v>94847</v>
      </c>
      <c r="E108">
        <v>10</v>
      </c>
    </row>
    <row r="109" customHeight="1" spans="1:5">
      <c r="A109" t="s">
        <v>17</v>
      </c>
      <c r="B109" t="s">
        <v>122</v>
      </c>
      <c r="C109" t="s">
        <v>123</v>
      </c>
      <c r="D109">
        <v>55324</v>
      </c>
      <c r="E109">
        <v>6</v>
      </c>
    </row>
    <row r="110" customHeight="1" spans="1:5">
      <c r="A110" t="s">
        <v>21</v>
      </c>
      <c r="B110" t="s">
        <v>85</v>
      </c>
      <c r="C110" t="s">
        <v>123</v>
      </c>
      <c r="D110">
        <v>39046</v>
      </c>
      <c r="E110">
        <v>5</v>
      </c>
    </row>
    <row r="111" customHeight="1" spans="1:5">
      <c r="A111" t="s">
        <v>35</v>
      </c>
      <c r="B111" t="s">
        <v>124</v>
      </c>
      <c r="C111" t="s">
        <v>123</v>
      </c>
      <c r="D111">
        <v>84529</v>
      </c>
      <c r="E111">
        <v>8</v>
      </c>
    </row>
    <row r="112" customHeight="1" spans="1:5">
      <c r="A112" t="s">
        <v>35</v>
      </c>
      <c r="B112" t="s">
        <v>88</v>
      </c>
      <c r="C112" t="s">
        <v>125</v>
      </c>
      <c r="D112">
        <v>57842</v>
      </c>
      <c r="E112">
        <v>4</v>
      </c>
    </row>
    <row r="113" customHeight="1" spans="1:5">
      <c r="A113" t="s">
        <v>35</v>
      </c>
      <c r="B113" t="s">
        <v>116</v>
      </c>
      <c r="C113" t="s">
        <v>125</v>
      </c>
      <c r="D113">
        <v>26944</v>
      </c>
      <c r="E113">
        <v>10</v>
      </c>
    </row>
    <row r="114" customHeight="1" spans="1:5">
      <c r="A114" t="s">
        <v>21</v>
      </c>
      <c r="B114" t="s">
        <v>66</v>
      </c>
      <c r="C114" t="s">
        <v>126</v>
      </c>
      <c r="D114">
        <v>97298</v>
      </c>
      <c r="E114">
        <v>4</v>
      </c>
    </row>
    <row r="115" customHeight="1" spans="1:5">
      <c r="A115" t="s">
        <v>35</v>
      </c>
      <c r="B115" t="s">
        <v>40</v>
      </c>
      <c r="C115" t="s">
        <v>127</v>
      </c>
      <c r="D115">
        <v>35244</v>
      </c>
      <c r="E115">
        <v>5</v>
      </c>
    </row>
    <row r="116" customHeight="1" spans="1:5">
      <c r="A116" t="s">
        <v>14</v>
      </c>
      <c r="B116" t="s">
        <v>26</v>
      </c>
      <c r="C116" t="s">
        <v>127</v>
      </c>
      <c r="D116">
        <v>72589</v>
      </c>
      <c r="E116">
        <v>8</v>
      </c>
    </row>
    <row r="117" customHeight="1" spans="1:5">
      <c r="A117" t="s">
        <v>5</v>
      </c>
      <c r="B117" t="s">
        <v>128</v>
      </c>
      <c r="C117" t="s">
        <v>127</v>
      </c>
      <c r="D117">
        <v>83448</v>
      </c>
      <c r="E117">
        <v>4</v>
      </c>
    </row>
    <row r="118" customHeight="1" spans="1:5">
      <c r="A118" t="s">
        <v>48</v>
      </c>
      <c r="B118" t="s">
        <v>129</v>
      </c>
      <c r="C118" t="s">
        <v>127</v>
      </c>
      <c r="D118">
        <v>88131</v>
      </c>
      <c r="E118">
        <v>2</v>
      </c>
    </row>
    <row r="119" customHeight="1" spans="1:5">
      <c r="A119" t="s">
        <v>33</v>
      </c>
      <c r="B119" t="s">
        <v>130</v>
      </c>
      <c r="C119" t="s">
        <v>127</v>
      </c>
      <c r="D119">
        <v>88408</v>
      </c>
      <c r="E119">
        <v>1</v>
      </c>
    </row>
    <row r="120" customHeight="1" spans="1:5">
      <c r="A120" t="s">
        <v>33</v>
      </c>
      <c r="B120" t="s">
        <v>131</v>
      </c>
      <c r="C120" t="s">
        <v>127</v>
      </c>
      <c r="D120">
        <v>69058</v>
      </c>
      <c r="E120">
        <v>1</v>
      </c>
    </row>
    <row r="121" customHeight="1" spans="1:5">
      <c r="A121" t="s">
        <v>12</v>
      </c>
      <c r="B121" t="s">
        <v>132</v>
      </c>
      <c r="C121" t="s">
        <v>127</v>
      </c>
      <c r="D121">
        <v>84160</v>
      </c>
      <c r="E121">
        <v>7</v>
      </c>
    </row>
    <row r="122" customHeight="1" spans="1:5">
      <c r="A122" t="s">
        <v>10</v>
      </c>
      <c r="B122" t="s">
        <v>107</v>
      </c>
      <c r="C122" t="s">
        <v>127</v>
      </c>
      <c r="D122">
        <v>89155</v>
      </c>
      <c r="E122">
        <v>6</v>
      </c>
    </row>
    <row r="123" customHeight="1" spans="1:5">
      <c r="A123" t="s">
        <v>14</v>
      </c>
      <c r="B123" t="s">
        <v>133</v>
      </c>
      <c r="C123" t="s">
        <v>127</v>
      </c>
      <c r="D123">
        <v>14914</v>
      </c>
      <c r="E123">
        <v>2</v>
      </c>
    </row>
    <row r="124" customHeight="1" spans="1:5">
      <c r="A124" t="s">
        <v>19</v>
      </c>
      <c r="B124" t="s">
        <v>75</v>
      </c>
      <c r="C124" t="s">
        <v>134</v>
      </c>
      <c r="D124">
        <v>98469</v>
      </c>
      <c r="E124">
        <v>6</v>
      </c>
    </row>
    <row r="125" customHeight="1" spans="1:5">
      <c r="A125" t="s">
        <v>33</v>
      </c>
      <c r="B125" t="s">
        <v>103</v>
      </c>
      <c r="C125" t="s">
        <v>135</v>
      </c>
      <c r="D125">
        <v>86797</v>
      </c>
      <c r="E125">
        <v>8</v>
      </c>
    </row>
    <row r="126" customHeight="1" spans="1:5">
      <c r="A126" t="s">
        <v>8</v>
      </c>
      <c r="B126" t="s">
        <v>136</v>
      </c>
      <c r="C126" t="s">
        <v>135</v>
      </c>
      <c r="D126">
        <v>74905</v>
      </c>
      <c r="E126">
        <v>0</v>
      </c>
    </row>
    <row r="127" customHeight="1" spans="1:5">
      <c r="A127" t="s">
        <v>30</v>
      </c>
      <c r="B127" t="s">
        <v>137</v>
      </c>
      <c r="C127" t="s">
        <v>135</v>
      </c>
      <c r="D127">
        <v>85106</v>
      </c>
      <c r="E127">
        <v>9</v>
      </c>
    </row>
    <row r="128" customHeight="1" spans="1:5">
      <c r="A128" t="s">
        <v>30</v>
      </c>
      <c r="B128" t="s">
        <v>92</v>
      </c>
      <c r="C128" t="s">
        <v>138</v>
      </c>
      <c r="D128">
        <v>69753</v>
      </c>
      <c r="E128">
        <v>10</v>
      </c>
    </row>
    <row r="129" customHeight="1" spans="1:5">
      <c r="A129" t="s">
        <v>17</v>
      </c>
      <c r="B129" t="s">
        <v>139</v>
      </c>
      <c r="C129" t="s">
        <v>138</v>
      </c>
      <c r="D129">
        <v>57408</v>
      </c>
      <c r="E129">
        <v>6</v>
      </c>
    </row>
    <row r="130" customHeight="1" spans="1:5">
      <c r="A130" t="s">
        <v>14</v>
      </c>
      <c r="B130" t="s">
        <v>140</v>
      </c>
      <c r="C130" t="s">
        <v>138</v>
      </c>
      <c r="D130">
        <v>11697</v>
      </c>
      <c r="E130">
        <v>10</v>
      </c>
    </row>
    <row r="131" customHeight="1" spans="1:5">
      <c r="A131" t="s">
        <v>5</v>
      </c>
      <c r="B131" t="s">
        <v>140</v>
      </c>
      <c r="C131" t="s">
        <v>141</v>
      </c>
      <c r="D131">
        <v>16226</v>
      </c>
      <c r="E131">
        <v>10</v>
      </c>
    </row>
    <row r="132" customHeight="1" spans="1:5">
      <c r="A132" t="s">
        <v>48</v>
      </c>
      <c r="B132" t="s">
        <v>142</v>
      </c>
      <c r="C132" t="s">
        <v>141</v>
      </c>
      <c r="D132">
        <v>18016</v>
      </c>
      <c r="E132">
        <v>5</v>
      </c>
    </row>
    <row r="133" customHeight="1" spans="1:5">
      <c r="A133" t="s">
        <v>17</v>
      </c>
      <c r="B133" t="s">
        <v>20</v>
      </c>
      <c r="C133" t="s">
        <v>141</v>
      </c>
      <c r="D133">
        <v>64271</v>
      </c>
      <c r="E133">
        <v>2</v>
      </c>
    </row>
    <row r="134" customHeight="1" spans="1:5">
      <c r="A134" t="s">
        <v>8</v>
      </c>
      <c r="B134" t="s">
        <v>43</v>
      </c>
      <c r="C134" t="s">
        <v>143</v>
      </c>
      <c r="D134">
        <v>13179</v>
      </c>
      <c r="E134">
        <v>0</v>
      </c>
    </row>
    <row r="135" customHeight="1" spans="1:5">
      <c r="A135" t="s">
        <v>8</v>
      </c>
      <c r="B135" t="s">
        <v>130</v>
      </c>
      <c r="C135" t="s">
        <v>143</v>
      </c>
      <c r="D135">
        <v>54096</v>
      </c>
      <c r="E135">
        <v>3</v>
      </c>
    </row>
    <row r="136" customHeight="1" spans="1:5">
      <c r="A136" t="s">
        <v>17</v>
      </c>
      <c r="B136" t="s">
        <v>144</v>
      </c>
      <c r="C136" t="s">
        <v>143</v>
      </c>
      <c r="D136">
        <v>25417</v>
      </c>
      <c r="E136">
        <v>0</v>
      </c>
    </row>
    <row r="137" customHeight="1" spans="1:5">
      <c r="A137" t="s">
        <v>12</v>
      </c>
      <c r="B137" t="s">
        <v>139</v>
      </c>
      <c r="C137" t="s">
        <v>143</v>
      </c>
      <c r="D137">
        <v>16408</v>
      </c>
      <c r="E137">
        <v>7</v>
      </c>
    </row>
    <row r="138" customHeight="1" spans="1:5">
      <c r="A138" t="s">
        <v>5</v>
      </c>
      <c r="B138" t="s">
        <v>109</v>
      </c>
      <c r="C138" t="s">
        <v>143</v>
      </c>
      <c r="D138">
        <v>78612</v>
      </c>
      <c r="E138">
        <v>6</v>
      </c>
    </row>
    <row r="139" customHeight="1" spans="1:5">
      <c r="A139" t="s">
        <v>14</v>
      </c>
      <c r="B139" t="s">
        <v>129</v>
      </c>
      <c r="C139" t="s">
        <v>143</v>
      </c>
      <c r="D139">
        <v>98334</v>
      </c>
      <c r="E139">
        <v>2</v>
      </c>
    </row>
    <row r="140" customHeight="1" spans="1:5">
      <c r="A140" t="s">
        <v>5</v>
      </c>
      <c r="B140" t="s">
        <v>145</v>
      </c>
      <c r="C140" t="s">
        <v>143</v>
      </c>
      <c r="D140">
        <v>37444</v>
      </c>
      <c r="E140">
        <v>4</v>
      </c>
    </row>
    <row r="141" customHeight="1" spans="1:5">
      <c r="A141" t="s">
        <v>8</v>
      </c>
      <c r="B141" t="s">
        <v>37</v>
      </c>
      <c r="C141" t="s">
        <v>143</v>
      </c>
      <c r="D141">
        <v>14524</v>
      </c>
      <c r="E141">
        <v>3</v>
      </c>
    </row>
    <row r="142" customHeight="1" spans="1:5">
      <c r="A142" t="s">
        <v>5</v>
      </c>
      <c r="B142" t="s">
        <v>91</v>
      </c>
      <c r="C142" t="s">
        <v>143</v>
      </c>
      <c r="D142">
        <v>14104</v>
      </c>
      <c r="E142">
        <v>4</v>
      </c>
    </row>
    <row r="143" customHeight="1" spans="1:5">
      <c r="A143" t="s">
        <v>19</v>
      </c>
      <c r="B143" t="s">
        <v>146</v>
      </c>
      <c r="C143" t="s">
        <v>143</v>
      </c>
      <c r="D143">
        <v>37894</v>
      </c>
      <c r="E143">
        <v>3</v>
      </c>
    </row>
    <row r="144" customHeight="1" spans="1:5">
      <c r="A144" t="s">
        <v>10</v>
      </c>
      <c r="B144" t="s">
        <v>147</v>
      </c>
      <c r="C144" t="s">
        <v>148</v>
      </c>
      <c r="D144">
        <v>80823</v>
      </c>
      <c r="E144">
        <v>3</v>
      </c>
    </row>
    <row r="145" customHeight="1" spans="1:5">
      <c r="A145" t="s">
        <v>33</v>
      </c>
      <c r="B145" t="s">
        <v>102</v>
      </c>
      <c r="C145" t="s">
        <v>148</v>
      </c>
      <c r="D145">
        <v>35989</v>
      </c>
      <c r="E145">
        <v>4</v>
      </c>
    </row>
    <row r="146" customHeight="1" spans="1:5">
      <c r="A146" t="s">
        <v>8</v>
      </c>
      <c r="B146" t="s">
        <v>149</v>
      </c>
      <c r="C146" t="s">
        <v>150</v>
      </c>
      <c r="D146">
        <v>42747</v>
      </c>
      <c r="E146">
        <v>3</v>
      </c>
    </row>
    <row r="147" customHeight="1" spans="1:5">
      <c r="A147" t="s">
        <v>10</v>
      </c>
      <c r="B147" t="s">
        <v>151</v>
      </c>
      <c r="C147" t="s">
        <v>152</v>
      </c>
      <c r="D147">
        <v>45468</v>
      </c>
      <c r="E147">
        <v>7</v>
      </c>
    </row>
    <row r="148" customHeight="1" spans="1:5">
      <c r="A148" t="s">
        <v>10</v>
      </c>
      <c r="B148" t="s">
        <v>92</v>
      </c>
      <c r="C148" t="s">
        <v>153</v>
      </c>
      <c r="D148">
        <v>99807</v>
      </c>
      <c r="E148">
        <v>7</v>
      </c>
    </row>
    <row r="149" customHeight="1" spans="1:5">
      <c r="A149" t="s">
        <v>8</v>
      </c>
      <c r="B149" t="s">
        <v>120</v>
      </c>
      <c r="C149" t="s">
        <v>154</v>
      </c>
      <c r="D149">
        <v>62510</v>
      </c>
      <c r="E149">
        <v>8</v>
      </c>
    </row>
    <row r="150" customHeight="1" spans="1:5">
      <c r="A150" t="s">
        <v>8</v>
      </c>
      <c r="B150" t="s">
        <v>132</v>
      </c>
      <c r="C150" t="s">
        <v>154</v>
      </c>
      <c r="D150">
        <v>33084</v>
      </c>
      <c r="E150">
        <v>7</v>
      </c>
    </row>
    <row r="151" customHeight="1" spans="1:5">
      <c r="A151" t="s">
        <v>14</v>
      </c>
      <c r="B151" t="s">
        <v>122</v>
      </c>
      <c r="C151" t="s">
        <v>154</v>
      </c>
      <c r="D151">
        <v>23297</v>
      </c>
      <c r="E151">
        <v>7</v>
      </c>
    </row>
    <row r="152" customHeight="1" spans="1:5">
      <c r="A152" t="s">
        <v>48</v>
      </c>
      <c r="B152" t="s">
        <v>109</v>
      </c>
      <c r="C152" t="s">
        <v>154</v>
      </c>
      <c r="D152">
        <v>53911</v>
      </c>
      <c r="E152">
        <v>8</v>
      </c>
    </row>
    <row r="153" customHeight="1" spans="1:5">
      <c r="A153" t="s">
        <v>30</v>
      </c>
      <c r="B153" t="s">
        <v>155</v>
      </c>
      <c r="C153" t="s">
        <v>154</v>
      </c>
      <c r="D153">
        <v>44313</v>
      </c>
      <c r="E153">
        <v>8</v>
      </c>
    </row>
    <row r="154" customHeight="1" spans="1:5">
      <c r="A154" t="s">
        <v>10</v>
      </c>
      <c r="B154" t="s">
        <v>43</v>
      </c>
      <c r="C154" t="s">
        <v>154</v>
      </c>
      <c r="D154">
        <v>27390</v>
      </c>
      <c r="E154">
        <v>5</v>
      </c>
    </row>
    <row r="155" customHeight="1" spans="1:5">
      <c r="A155" t="s">
        <v>12</v>
      </c>
      <c r="B155" t="s">
        <v>88</v>
      </c>
      <c r="C155" t="s">
        <v>154</v>
      </c>
      <c r="D155">
        <v>65898</v>
      </c>
      <c r="E155">
        <v>7</v>
      </c>
    </row>
    <row r="156" customHeight="1" spans="1:5">
      <c r="A156" t="s">
        <v>17</v>
      </c>
      <c r="B156" t="s">
        <v>156</v>
      </c>
      <c r="C156" t="s">
        <v>157</v>
      </c>
      <c r="D156">
        <v>17540</v>
      </c>
      <c r="E156">
        <v>5</v>
      </c>
    </row>
    <row r="157" customHeight="1" spans="1:5">
      <c r="A157" t="s">
        <v>14</v>
      </c>
      <c r="B157" t="s">
        <v>158</v>
      </c>
      <c r="C157" t="s">
        <v>159</v>
      </c>
      <c r="D157">
        <v>68002</v>
      </c>
      <c r="E157">
        <v>10</v>
      </c>
    </row>
    <row r="158" customHeight="1" spans="1:5">
      <c r="A158" t="s">
        <v>19</v>
      </c>
      <c r="B158" t="s">
        <v>101</v>
      </c>
      <c r="C158" t="s">
        <v>159</v>
      </c>
      <c r="D158">
        <v>90214</v>
      </c>
      <c r="E158">
        <v>8</v>
      </c>
    </row>
    <row r="159" customHeight="1" spans="1:5">
      <c r="A159" t="s">
        <v>10</v>
      </c>
      <c r="B159" t="s">
        <v>160</v>
      </c>
      <c r="C159" t="s">
        <v>159</v>
      </c>
      <c r="D159">
        <v>78572</v>
      </c>
      <c r="E159">
        <v>6</v>
      </c>
    </row>
    <row r="160" customHeight="1" spans="1:5">
      <c r="A160" t="s">
        <v>35</v>
      </c>
      <c r="B160" t="s">
        <v>161</v>
      </c>
      <c r="C160" t="s">
        <v>159</v>
      </c>
      <c r="D160">
        <v>15112</v>
      </c>
      <c r="E160">
        <v>8</v>
      </c>
    </row>
    <row r="161" customHeight="1" spans="1:5">
      <c r="A161" t="s">
        <v>8</v>
      </c>
      <c r="B161" t="s">
        <v>162</v>
      </c>
      <c r="C161" t="s">
        <v>163</v>
      </c>
      <c r="D161">
        <v>81162</v>
      </c>
      <c r="E161">
        <v>9</v>
      </c>
    </row>
    <row r="162" customHeight="1" spans="1:5">
      <c r="A162" t="s">
        <v>33</v>
      </c>
      <c r="B162" t="s">
        <v>144</v>
      </c>
      <c r="C162" t="s">
        <v>163</v>
      </c>
      <c r="D162">
        <v>90791</v>
      </c>
      <c r="E162">
        <v>2</v>
      </c>
    </row>
    <row r="163" customHeight="1" spans="1:5">
      <c r="A163" t="s">
        <v>48</v>
      </c>
      <c r="B163" t="s">
        <v>77</v>
      </c>
      <c r="C163" t="s">
        <v>163</v>
      </c>
      <c r="D163">
        <v>23818</v>
      </c>
      <c r="E163">
        <v>7</v>
      </c>
    </row>
    <row r="164" customHeight="1" spans="1:5">
      <c r="A164" t="s">
        <v>14</v>
      </c>
      <c r="B164" t="s">
        <v>164</v>
      </c>
      <c r="C164" t="s">
        <v>165</v>
      </c>
      <c r="D164">
        <v>99169</v>
      </c>
      <c r="E164">
        <v>3</v>
      </c>
    </row>
    <row r="165" customHeight="1" spans="1:5">
      <c r="A165" t="s">
        <v>33</v>
      </c>
      <c r="B165" t="s">
        <v>166</v>
      </c>
      <c r="C165" t="s">
        <v>165</v>
      </c>
      <c r="D165">
        <v>30141</v>
      </c>
      <c r="E165">
        <v>8</v>
      </c>
    </row>
    <row r="166" customHeight="1" spans="1:5">
      <c r="A166" t="s">
        <v>33</v>
      </c>
      <c r="B166" t="s">
        <v>167</v>
      </c>
      <c r="C166" t="s">
        <v>165</v>
      </c>
      <c r="D166">
        <v>12286</v>
      </c>
      <c r="E166">
        <v>5</v>
      </c>
    </row>
    <row r="167" customHeight="1" spans="1:5">
      <c r="A167" t="s">
        <v>14</v>
      </c>
      <c r="B167" t="s">
        <v>142</v>
      </c>
      <c r="C167" t="s">
        <v>165</v>
      </c>
      <c r="D167">
        <v>32513</v>
      </c>
      <c r="E167">
        <v>5</v>
      </c>
    </row>
    <row r="168" customHeight="1" spans="1:5">
      <c r="A168" t="s">
        <v>19</v>
      </c>
      <c r="B168" t="s">
        <v>168</v>
      </c>
      <c r="C168" t="s">
        <v>169</v>
      </c>
      <c r="D168">
        <v>89279</v>
      </c>
      <c r="E168">
        <v>6</v>
      </c>
    </row>
    <row r="169" customHeight="1" spans="1:5">
      <c r="A169" t="s">
        <v>5</v>
      </c>
      <c r="B169" t="s">
        <v>170</v>
      </c>
      <c r="C169" t="s">
        <v>169</v>
      </c>
      <c r="D169">
        <v>51058</v>
      </c>
      <c r="E169">
        <v>7</v>
      </c>
    </row>
    <row r="170" customHeight="1" spans="1:5">
      <c r="A170" t="s">
        <v>33</v>
      </c>
      <c r="B170" t="s">
        <v>46</v>
      </c>
      <c r="C170" t="s">
        <v>169</v>
      </c>
      <c r="D170">
        <v>83276</v>
      </c>
      <c r="E170">
        <v>7</v>
      </c>
    </row>
    <row r="171" customHeight="1" spans="1:5">
      <c r="A171" t="s">
        <v>8</v>
      </c>
      <c r="B171" t="s">
        <v>43</v>
      </c>
      <c r="C171" t="s">
        <v>169</v>
      </c>
      <c r="D171">
        <v>93243</v>
      </c>
      <c r="E171">
        <v>5</v>
      </c>
    </row>
    <row r="172" customHeight="1" spans="1:5">
      <c r="A172" t="s">
        <v>8</v>
      </c>
      <c r="B172" t="s">
        <v>171</v>
      </c>
      <c r="C172" t="s">
        <v>169</v>
      </c>
      <c r="D172">
        <v>45645</v>
      </c>
      <c r="E172">
        <v>3</v>
      </c>
    </row>
    <row r="173" customHeight="1" spans="1:5">
      <c r="A173" t="s">
        <v>12</v>
      </c>
      <c r="B173" t="s">
        <v>172</v>
      </c>
      <c r="C173" t="s">
        <v>173</v>
      </c>
      <c r="D173">
        <v>99069</v>
      </c>
      <c r="E173">
        <v>5</v>
      </c>
    </row>
    <row r="174" customHeight="1" spans="1:5">
      <c r="A174" t="s">
        <v>35</v>
      </c>
      <c r="B174" t="s">
        <v>139</v>
      </c>
      <c r="C174" t="s">
        <v>173</v>
      </c>
      <c r="D174">
        <v>36203</v>
      </c>
      <c r="E174">
        <v>3</v>
      </c>
    </row>
    <row r="175" customHeight="1" spans="1:5">
      <c r="A175" t="s">
        <v>21</v>
      </c>
      <c r="B175" t="s">
        <v>54</v>
      </c>
      <c r="C175" t="s">
        <v>174</v>
      </c>
      <c r="D175">
        <v>29948</v>
      </c>
      <c r="E175">
        <v>7</v>
      </c>
    </row>
    <row r="176" customHeight="1" spans="1:5">
      <c r="A176" t="s">
        <v>30</v>
      </c>
      <c r="B176" t="s">
        <v>133</v>
      </c>
      <c r="C176" t="s">
        <v>174</v>
      </c>
      <c r="D176">
        <v>32017</v>
      </c>
      <c r="E176">
        <v>3</v>
      </c>
    </row>
    <row r="177" customHeight="1" spans="1:5">
      <c r="A177" t="s">
        <v>8</v>
      </c>
      <c r="B177" t="s">
        <v>70</v>
      </c>
      <c r="C177" t="s">
        <v>174</v>
      </c>
      <c r="D177">
        <v>15952</v>
      </c>
      <c r="E177">
        <v>6</v>
      </c>
    </row>
    <row r="178" customHeight="1" spans="1:5">
      <c r="A178" t="s">
        <v>19</v>
      </c>
      <c r="B178" t="s">
        <v>56</v>
      </c>
      <c r="C178" t="s">
        <v>174</v>
      </c>
      <c r="D178">
        <v>41778</v>
      </c>
      <c r="E178">
        <v>7</v>
      </c>
    </row>
    <row r="179" customHeight="1" spans="1:5">
      <c r="A179" t="s">
        <v>17</v>
      </c>
      <c r="B179" t="s">
        <v>103</v>
      </c>
      <c r="C179" t="s">
        <v>174</v>
      </c>
      <c r="D179">
        <v>32473</v>
      </c>
      <c r="E179">
        <v>7</v>
      </c>
    </row>
    <row r="180" customHeight="1" spans="1:5">
      <c r="A180" t="s">
        <v>35</v>
      </c>
      <c r="B180" t="s">
        <v>13</v>
      </c>
      <c r="C180" t="s">
        <v>175</v>
      </c>
      <c r="D180">
        <v>10737</v>
      </c>
      <c r="E180">
        <v>8</v>
      </c>
    </row>
    <row r="181" customHeight="1" spans="1:5">
      <c r="A181" t="s">
        <v>33</v>
      </c>
      <c r="B181" t="s">
        <v>176</v>
      </c>
      <c r="C181" t="s">
        <v>175</v>
      </c>
      <c r="D181">
        <v>99804</v>
      </c>
      <c r="E181">
        <v>6</v>
      </c>
    </row>
    <row r="182" customHeight="1" spans="1:5">
      <c r="A182" t="s">
        <v>35</v>
      </c>
      <c r="B182" t="s">
        <v>72</v>
      </c>
      <c r="C182" t="s">
        <v>177</v>
      </c>
      <c r="D182">
        <v>74563</v>
      </c>
      <c r="E182">
        <v>8</v>
      </c>
    </row>
    <row r="183" customHeight="1" spans="1:5">
      <c r="A183" t="s">
        <v>5</v>
      </c>
      <c r="B183" t="s">
        <v>72</v>
      </c>
      <c r="C183" t="s">
        <v>177</v>
      </c>
      <c r="D183">
        <v>27479</v>
      </c>
      <c r="E183">
        <v>6</v>
      </c>
    </row>
    <row r="184" customHeight="1" spans="1:5">
      <c r="A184" t="s">
        <v>35</v>
      </c>
      <c r="B184" t="s">
        <v>156</v>
      </c>
      <c r="C184" t="s">
        <v>177</v>
      </c>
      <c r="D184">
        <v>31247</v>
      </c>
      <c r="E184">
        <v>8</v>
      </c>
    </row>
    <row r="185" customHeight="1" spans="1:5">
      <c r="A185" t="s">
        <v>14</v>
      </c>
      <c r="B185" t="s">
        <v>76</v>
      </c>
      <c r="C185" t="s">
        <v>177</v>
      </c>
      <c r="D185">
        <v>16938</v>
      </c>
      <c r="E185">
        <v>9</v>
      </c>
    </row>
    <row r="186" customHeight="1" spans="1:5">
      <c r="A186" t="s">
        <v>19</v>
      </c>
      <c r="B186" t="s">
        <v>178</v>
      </c>
      <c r="C186" t="s">
        <v>179</v>
      </c>
      <c r="D186">
        <v>75752</v>
      </c>
      <c r="E186">
        <v>3</v>
      </c>
    </row>
    <row r="187" customHeight="1" spans="1:5">
      <c r="A187" t="s">
        <v>48</v>
      </c>
      <c r="B187" t="s">
        <v>180</v>
      </c>
      <c r="C187" t="s">
        <v>179</v>
      </c>
      <c r="D187">
        <v>71159</v>
      </c>
      <c r="E187">
        <v>6</v>
      </c>
    </row>
    <row r="188" customHeight="1" spans="1:5">
      <c r="A188" t="s">
        <v>35</v>
      </c>
      <c r="B188" t="s">
        <v>181</v>
      </c>
      <c r="C188" t="s">
        <v>179</v>
      </c>
      <c r="D188">
        <v>70038</v>
      </c>
      <c r="E188">
        <v>8</v>
      </c>
    </row>
    <row r="189" customHeight="1" spans="1:5">
      <c r="A189" t="s">
        <v>21</v>
      </c>
      <c r="B189" t="s">
        <v>182</v>
      </c>
      <c r="C189" t="s">
        <v>179</v>
      </c>
      <c r="D189">
        <v>14924</v>
      </c>
      <c r="E189">
        <v>8</v>
      </c>
    </row>
    <row r="190" customHeight="1" spans="1:5">
      <c r="A190" t="s">
        <v>35</v>
      </c>
      <c r="B190" t="s">
        <v>58</v>
      </c>
      <c r="C190" t="s">
        <v>183</v>
      </c>
      <c r="D190">
        <v>51856</v>
      </c>
      <c r="E190">
        <v>8</v>
      </c>
    </row>
    <row r="191" customHeight="1" spans="1:5">
      <c r="A191" t="s">
        <v>35</v>
      </c>
      <c r="B191" t="s">
        <v>184</v>
      </c>
      <c r="C191" t="s">
        <v>183</v>
      </c>
      <c r="D191">
        <v>78806</v>
      </c>
      <c r="E191">
        <v>5</v>
      </c>
    </row>
    <row r="192" customHeight="1" spans="1:5">
      <c r="A192" t="s">
        <v>5</v>
      </c>
      <c r="B192" t="s">
        <v>45</v>
      </c>
      <c r="C192" t="s">
        <v>183</v>
      </c>
      <c r="D192">
        <v>73459</v>
      </c>
      <c r="E192">
        <v>7</v>
      </c>
    </row>
    <row r="193" customHeight="1" spans="1:5">
      <c r="A193" t="s">
        <v>35</v>
      </c>
      <c r="B193" t="s">
        <v>185</v>
      </c>
      <c r="C193" t="s">
        <v>186</v>
      </c>
      <c r="D193">
        <v>26681</v>
      </c>
      <c r="E193">
        <v>6</v>
      </c>
    </row>
    <row r="194" customHeight="1" spans="1:5">
      <c r="A194" t="s">
        <v>35</v>
      </c>
      <c r="B194" t="s">
        <v>102</v>
      </c>
      <c r="C194" t="s">
        <v>186</v>
      </c>
      <c r="D194">
        <v>57240</v>
      </c>
      <c r="E194">
        <v>7</v>
      </c>
    </row>
    <row r="195" customHeight="1" spans="1:5">
      <c r="A195" t="s">
        <v>10</v>
      </c>
      <c r="B195" t="s">
        <v>99</v>
      </c>
      <c r="C195" t="s">
        <v>187</v>
      </c>
      <c r="D195">
        <v>42754</v>
      </c>
      <c r="E195">
        <v>7</v>
      </c>
    </row>
    <row r="196" customHeight="1" spans="1:5">
      <c r="A196" t="s">
        <v>19</v>
      </c>
      <c r="B196" t="s">
        <v>178</v>
      </c>
      <c r="C196" t="s">
        <v>188</v>
      </c>
      <c r="D196">
        <v>39430</v>
      </c>
      <c r="E196">
        <v>10</v>
      </c>
    </row>
    <row r="197" customHeight="1" spans="1:5">
      <c r="A197" t="s">
        <v>10</v>
      </c>
      <c r="B197" t="s">
        <v>189</v>
      </c>
      <c r="C197" t="s">
        <v>190</v>
      </c>
      <c r="D197">
        <v>78505</v>
      </c>
      <c r="E197">
        <v>5</v>
      </c>
    </row>
    <row r="198" customHeight="1" spans="1:5">
      <c r="A198" t="s">
        <v>12</v>
      </c>
      <c r="B198" t="s">
        <v>11</v>
      </c>
      <c r="C198" t="s">
        <v>190</v>
      </c>
      <c r="D198">
        <v>89064</v>
      </c>
      <c r="E198">
        <v>5</v>
      </c>
    </row>
    <row r="199" customHeight="1" spans="1:5">
      <c r="A199" t="s">
        <v>10</v>
      </c>
      <c r="B199" t="s">
        <v>83</v>
      </c>
      <c r="C199" t="s">
        <v>190</v>
      </c>
      <c r="D199">
        <v>25937</v>
      </c>
      <c r="E199">
        <v>8</v>
      </c>
    </row>
    <row r="200" customHeight="1" spans="1:5">
      <c r="A200" t="s">
        <v>8</v>
      </c>
      <c r="B200" t="s">
        <v>70</v>
      </c>
      <c r="C200" t="s">
        <v>190</v>
      </c>
      <c r="D200">
        <v>44086</v>
      </c>
      <c r="E200">
        <v>8</v>
      </c>
    </row>
    <row r="201" customHeight="1" spans="1:5">
      <c r="A201" t="s">
        <v>21</v>
      </c>
      <c r="B201" t="s">
        <v>191</v>
      </c>
      <c r="C201" t="s">
        <v>190</v>
      </c>
      <c r="D201">
        <v>33835</v>
      </c>
      <c r="E201">
        <v>5</v>
      </c>
    </row>
    <row r="202" customHeight="1" spans="1:5">
      <c r="A202" t="s">
        <v>19</v>
      </c>
      <c r="B202" t="s">
        <v>192</v>
      </c>
      <c r="C202" t="s">
        <v>190</v>
      </c>
      <c r="D202">
        <v>16434</v>
      </c>
      <c r="E202">
        <v>7</v>
      </c>
    </row>
    <row r="203" customHeight="1" spans="1:5">
      <c r="A203" t="s">
        <v>35</v>
      </c>
      <c r="B203" t="s">
        <v>56</v>
      </c>
      <c r="C203" t="s">
        <v>193</v>
      </c>
      <c r="D203">
        <v>41238</v>
      </c>
      <c r="E203">
        <v>10</v>
      </c>
    </row>
    <row r="204" customHeight="1" spans="1:5">
      <c r="A204" t="s">
        <v>8</v>
      </c>
      <c r="B204" t="s">
        <v>9</v>
      </c>
      <c r="C204" t="s">
        <v>193</v>
      </c>
      <c r="D204">
        <v>75256</v>
      </c>
      <c r="E204">
        <v>7</v>
      </c>
    </row>
    <row r="205" customHeight="1" spans="1:5">
      <c r="A205" t="s">
        <v>8</v>
      </c>
      <c r="B205" t="s">
        <v>117</v>
      </c>
      <c r="C205" t="s">
        <v>193</v>
      </c>
      <c r="D205">
        <v>19693</v>
      </c>
      <c r="E205">
        <v>7</v>
      </c>
    </row>
    <row r="206" customHeight="1" spans="1:5">
      <c r="A206" t="s">
        <v>30</v>
      </c>
      <c r="B206" t="s">
        <v>194</v>
      </c>
      <c r="C206" t="s">
        <v>193</v>
      </c>
      <c r="D206">
        <v>97635</v>
      </c>
      <c r="E206">
        <v>3</v>
      </c>
    </row>
    <row r="207" customHeight="1" spans="1:5">
      <c r="A207" t="s">
        <v>8</v>
      </c>
      <c r="B207" t="s">
        <v>195</v>
      </c>
      <c r="C207" t="s">
        <v>196</v>
      </c>
      <c r="D207">
        <v>51931</v>
      </c>
      <c r="E207">
        <v>8</v>
      </c>
    </row>
    <row r="208" customHeight="1" spans="1:5">
      <c r="A208" t="s">
        <v>5</v>
      </c>
      <c r="B208" t="s">
        <v>197</v>
      </c>
      <c r="C208" t="s">
        <v>196</v>
      </c>
      <c r="D208">
        <v>31546</v>
      </c>
      <c r="E208">
        <v>8</v>
      </c>
    </row>
    <row r="209" customHeight="1" spans="1:5">
      <c r="A209" t="s">
        <v>14</v>
      </c>
      <c r="B209" t="s">
        <v>13</v>
      </c>
      <c r="C209" t="s">
        <v>198</v>
      </c>
      <c r="D209">
        <v>81691</v>
      </c>
      <c r="E209">
        <v>3</v>
      </c>
    </row>
    <row r="210" customHeight="1" spans="1:5">
      <c r="A210" t="s">
        <v>10</v>
      </c>
      <c r="B210" t="s">
        <v>28</v>
      </c>
      <c r="C210" t="s">
        <v>198</v>
      </c>
      <c r="D210">
        <v>13619</v>
      </c>
      <c r="E210">
        <v>8</v>
      </c>
    </row>
    <row r="211" customHeight="1" spans="1:5">
      <c r="A211" t="s">
        <v>8</v>
      </c>
      <c r="B211" t="s">
        <v>142</v>
      </c>
      <c r="C211" t="s">
        <v>198</v>
      </c>
      <c r="D211">
        <v>26584</v>
      </c>
      <c r="E211">
        <v>9</v>
      </c>
    </row>
    <row r="212" customHeight="1" spans="1:5">
      <c r="A212" t="s">
        <v>35</v>
      </c>
      <c r="B212" t="s">
        <v>31</v>
      </c>
      <c r="C212" t="s">
        <v>199</v>
      </c>
      <c r="D212">
        <v>43557</v>
      </c>
      <c r="E212">
        <v>2</v>
      </c>
    </row>
    <row r="213" customHeight="1" spans="1:5">
      <c r="A213" t="s">
        <v>10</v>
      </c>
      <c r="B213" t="s">
        <v>200</v>
      </c>
      <c r="C213" t="s">
        <v>199</v>
      </c>
      <c r="D213">
        <v>40380</v>
      </c>
      <c r="E213">
        <v>4</v>
      </c>
    </row>
    <row r="214" customHeight="1" spans="1:5">
      <c r="A214" t="s">
        <v>5</v>
      </c>
      <c r="B214" t="s">
        <v>82</v>
      </c>
      <c r="C214" t="s">
        <v>199</v>
      </c>
      <c r="D214">
        <v>18665</v>
      </c>
      <c r="E214">
        <v>7</v>
      </c>
    </row>
    <row r="215" customHeight="1" spans="1:5">
      <c r="A215" t="s">
        <v>8</v>
      </c>
      <c r="B215" t="s">
        <v>9</v>
      </c>
      <c r="C215" t="s">
        <v>199</v>
      </c>
      <c r="D215">
        <v>45436</v>
      </c>
      <c r="E215">
        <v>8</v>
      </c>
    </row>
    <row r="216" customHeight="1" spans="1:5">
      <c r="A216" t="s">
        <v>5</v>
      </c>
      <c r="B216" t="s">
        <v>201</v>
      </c>
      <c r="C216" t="s">
        <v>199</v>
      </c>
      <c r="D216">
        <v>75180</v>
      </c>
      <c r="E216">
        <v>7</v>
      </c>
    </row>
    <row r="217" customHeight="1" spans="1:5">
      <c r="A217" t="s">
        <v>5</v>
      </c>
      <c r="B217" t="s">
        <v>31</v>
      </c>
      <c r="C217" t="s">
        <v>199</v>
      </c>
      <c r="D217">
        <v>93599</v>
      </c>
      <c r="E217">
        <v>5</v>
      </c>
    </row>
    <row r="218" customHeight="1" spans="1:5">
      <c r="A218" t="s">
        <v>17</v>
      </c>
      <c r="B218" t="s">
        <v>202</v>
      </c>
      <c r="C218" t="s">
        <v>199</v>
      </c>
      <c r="D218">
        <v>85602</v>
      </c>
      <c r="E218">
        <v>3</v>
      </c>
    </row>
    <row r="219" customHeight="1" spans="1:5">
      <c r="A219" t="s">
        <v>33</v>
      </c>
      <c r="B219" t="s">
        <v>83</v>
      </c>
      <c r="C219" t="s">
        <v>203</v>
      </c>
      <c r="D219">
        <v>70061</v>
      </c>
      <c r="E219">
        <v>5</v>
      </c>
    </row>
    <row r="220" customHeight="1" spans="1:5">
      <c r="A220" t="s">
        <v>19</v>
      </c>
      <c r="B220" t="s">
        <v>13</v>
      </c>
      <c r="C220" t="s">
        <v>203</v>
      </c>
      <c r="D220">
        <v>47199</v>
      </c>
      <c r="E220">
        <v>5</v>
      </c>
    </row>
    <row r="221" customHeight="1" spans="1:5">
      <c r="A221" t="s">
        <v>21</v>
      </c>
      <c r="B221" t="s">
        <v>91</v>
      </c>
      <c r="C221" t="s">
        <v>203</v>
      </c>
      <c r="D221">
        <v>14755</v>
      </c>
      <c r="E221">
        <v>2</v>
      </c>
    </row>
    <row r="222" customHeight="1" spans="1:5">
      <c r="A222" t="s">
        <v>19</v>
      </c>
      <c r="B222" t="s">
        <v>204</v>
      </c>
      <c r="C222" t="s">
        <v>203</v>
      </c>
      <c r="D222">
        <v>91004</v>
      </c>
      <c r="E222">
        <v>7</v>
      </c>
    </row>
    <row r="223" customHeight="1" spans="1:5">
      <c r="A223" t="s">
        <v>17</v>
      </c>
      <c r="B223" t="s">
        <v>107</v>
      </c>
      <c r="C223" t="s">
        <v>203</v>
      </c>
      <c r="D223">
        <v>99841</v>
      </c>
      <c r="E223">
        <v>5</v>
      </c>
    </row>
    <row r="224" customHeight="1" spans="1:5">
      <c r="A224" t="s">
        <v>21</v>
      </c>
      <c r="B224" t="s">
        <v>64</v>
      </c>
      <c r="C224" t="s">
        <v>203</v>
      </c>
      <c r="D224">
        <v>49926</v>
      </c>
      <c r="E224">
        <v>9</v>
      </c>
    </row>
    <row r="225" customHeight="1" spans="1:5">
      <c r="A225" t="s">
        <v>14</v>
      </c>
      <c r="B225" t="s">
        <v>34</v>
      </c>
      <c r="C225" t="s">
        <v>203</v>
      </c>
      <c r="D225">
        <v>54980</v>
      </c>
      <c r="E225">
        <v>7</v>
      </c>
    </row>
    <row r="226" customHeight="1" spans="1:5">
      <c r="A226" t="s">
        <v>10</v>
      </c>
      <c r="B226" t="s">
        <v>205</v>
      </c>
      <c r="C226" t="s">
        <v>203</v>
      </c>
      <c r="D226">
        <v>44469</v>
      </c>
      <c r="E226">
        <v>0</v>
      </c>
    </row>
    <row r="227" customHeight="1" spans="1:5">
      <c r="A227" t="s">
        <v>5</v>
      </c>
      <c r="B227" t="s">
        <v>206</v>
      </c>
      <c r="C227" t="s">
        <v>203</v>
      </c>
      <c r="D227">
        <v>39652</v>
      </c>
      <c r="E227">
        <v>7</v>
      </c>
    </row>
    <row r="228" customHeight="1" spans="1:5">
      <c r="A228" t="s">
        <v>14</v>
      </c>
      <c r="B228" t="s">
        <v>189</v>
      </c>
      <c r="C228" t="s">
        <v>207</v>
      </c>
      <c r="D228">
        <v>42270</v>
      </c>
      <c r="E228">
        <v>6</v>
      </c>
    </row>
    <row r="229" customHeight="1" spans="1:5">
      <c r="A229" t="s">
        <v>12</v>
      </c>
      <c r="B229" t="s">
        <v>58</v>
      </c>
      <c r="C229" t="s">
        <v>207</v>
      </c>
      <c r="D229">
        <v>55911</v>
      </c>
      <c r="E229">
        <v>6</v>
      </c>
    </row>
    <row r="230" customHeight="1" spans="1:5">
      <c r="A230" t="s">
        <v>10</v>
      </c>
      <c r="B230" t="s">
        <v>15</v>
      </c>
      <c r="C230" t="s">
        <v>207</v>
      </c>
      <c r="D230">
        <v>33478</v>
      </c>
      <c r="E230">
        <v>6</v>
      </c>
    </row>
    <row r="231" customHeight="1" spans="1:5">
      <c r="A231" t="s">
        <v>14</v>
      </c>
      <c r="B231" t="s">
        <v>132</v>
      </c>
      <c r="C231" t="s">
        <v>207</v>
      </c>
      <c r="D231">
        <v>51610</v>
      </c>
      <c r="E231">
        <v>3</v>
      </c>
    </row>
    <row r="232" customHeight="1" spans="1:5">
      <c r="A232" t="s">
        <v>48</v>
      </c>
      <c r="B232" t="s">
        <v>98</v>
      </c>
      <c r="C232" t="s">
        <v>208</v>
      </c>
      <c r="D232">
        <v>89005</v>
      </c>
      <c r="E232">
        <v>6</v>
      </c>
    </row>
    <row r="233" customHeight="1" spans="1:5">
      <c r="A233" t="s">
        <v>48</v>
      </c>
      <c r="B233" t="s">
        <v>209</v>
      </c>
      <c r="C233" t="s">
        <v>208</v>
      </c>
      <c r="D233">
        <v>43651</v>
      </c>
      <c r="E233">
        <v>6</v>
      </c>
    </row>
    <row r="234" customHeight="1" spans="1:5">
      <c r="A234" t="s">
        <v>14</v>
      </c>
      <c r="B234" t="s">
        <v>98</v>
      </c>
      <c r="C234" t="s">
        <v>210</v>
      </c>
      <c r="D234">
        <v>71916</v>
      </c>
      <c r="E234">
        <v>8</v>
      </c>
    </row>
    <row r="235" customHeight="1" spans="1:5">
      <c r="A235" t="s">
        <v>12</v>
      </c>
      <c r="B235" t="s">
        <v>206</v>
      </c>
      <c r="C235" t="s">
        <v>210</v>
      </c>
      <c r="D235">
        <v>82174</v>
      </c>
      <c r="E235">
        <v>8</v>
      </c>
    </row>
    <row r="236" customHeight="1" spans="1:5">
      <c r="A236" t="s">
        <v>10</v>
      </c>
      <c r="B236" t="s">
        <v>44</v>
      </c>
      <c r="C236" t="s">
        <v>211</v>
      </c>
      <c r="D236">
        <v>77141</v>
      </c>
      <c r="E236">
        <v>6</v>
      </c>
    </row>
    <row r="237" customHeight="1" spans="1:5">
      <c r="A237" t="s">
        <v>48</v>
      </c>
      <c r="B237" t="s">
        <v>38</v>
      </c>
      <c r="C237" t="s">
        <v>211</v>
      </c>
      <c r="D237">
        <v>25096</v>
      </c>
      <c r="E237">
        <v>6</v>
      </c>
    </row>
    <row r="238" customHeight="1" spans="1:5">
      <c r="A238" t="s">
        <v>35</v>
      </c>
      <c r="B238" t="s">
        <v>128</v>
      </c>
      <c r="C238" t="s">
        <v>211</v>
      </c>
      <c r="D238">
        <v>77409</v>
      </c>
      <c r="E238">
        <v>8</v>
      </c>
    </row>
    <row r="239" customHeight="1" spans="1:5">
      <c r="A239" t="s">
        <v>5</v>
      </c>
      <c r="B239" t="s">
        <v>52</v>
      </c>
      <c r="C239" t="s">
        <v>211</v>
      </c>
      <c r="D239">
        <v>12687</v>
      </c>
      <c r="E239">
        <v>8</v>
      </c>
    </row>
    <row r="240" customHeight="1" spans="1:5">
      <c r="A240" t="s">
        <v>14</v>
      </c>
      <c r="B240" t="s">
        <v>41</v>
      </c>
      <c r="C240" t="s">
        <v>212</v>
      </c>
      <c r="D240">
        <v>25668</v>
      </c>
      <c r="E240">
        <v>7</v>
      </c>
    </row>
    <row r="241" customHeight="1" spans="1:5">
      <c r="A241" t="s">
        <v>12</v>
      </c>
      <c r="B241" t="s">
        <v>131</v>
      </c>
      <c r="C241" t="s">
        <v>212</v>
      </c>
      <c r="D241">
        <v>96724</v>
      </c>
      <c r="E241">
        <v>8</v>
      </c>
    </row>
    <row r="242" customHeight="1" spans="1:5">
      <c r="A242" t="s">
        <v>35</v>
      </c>
      <c r="B242" t="s">
        <v>213</v>
      </c>
      <c r="C242" t="s">
        <v>212</v>
      </c>
      <c r="D242">
        <v>14536</v>
      </c>
      <c r="E242">
        <v>4</v>
      </c>
    </row>
    <row r="243" customHeight="1" spans="1:5">
      <c r="A243" t="s">
        <v>35</v>
      </c>
      <c r="B243" t="s">
        <v>214</v>
      </c>
      <c r="C243" t="s">
        <v>212</v>
      </c>
      <c r="D243">
        <v>42976</v>
      </c>
      <c r="E243">
        <v>5</v>
      </c>
    </row>
    <row r="244" customHeight="1" spans="1:5">
      <c r="A244" t="s">
        <v>10</v>
      </c>
      <c r="B244" t="s">
        <v>111</v>
      </c>
      <c r="C244" t="s">
        <v>212</v>
      </c>
      <c r="D244">
        <v>54356</v>
      </c>
      <c r="E244">
        <v>5</v>
      </c>
    </row>
    <row r="245" customHeight="1" spans="1:5">
      <c r="A245" t="s">
        <v>33</v>
      </c>
      <c r="B245" t="s">
        <v>215</v>
      </c>
      <c r="C245" t="s">
        <v>212</v>
      </c>
      <c r="D245">
        <v>68435</v>
      </c>
      <c r="E245">
        <v>3</v>
      </c>
    </row>
    <row r="246" customHeight="1" spans="1:5">
      <c r="A246" t="s">
        <v>5</v>
      </c>
      <c r="B246" t="s">
        <v>216</v>
      </c>
      <c r="C246" t="s">
        <v>212</v>
      </c>
      <c r="D246">
        <v>11782</v>
      </c>
      <c r="E246">
        <v>7</v>
      </c>
    </row>
    <row r="247" customHeight="1" spans="1:5">
      <c r="A247" t="s">
        <v>33</v>
      </c>
      <c r="B247" t="s">
        <v>94</v>
      </c>
      <c r="C247" t="s">
        <v>212</v>
      </c>
      <c r="D247">
        <v>57312</v>
      </c>
      <c r="E247">
        <v>7</v>
      </c>
    </row>
    <row r="248" customHeight="1" spans="1:5">
      <c r="A248" t="s">
        <v>48</v>
      </c>
      <c r="B248" t="s">
        <v>94</v>
      </c>
      <c r="C248" t="s">
        <v>212</v>
      </c>
      <c r="D248">
        <v>51251</v>
      </c>
      <c r="E248">
        <v>3</v>
      </c>
    </row>
    <row r="249" customHeight="1" spans="1:5">
      <c r="A249" t="s">
        <v>14</v>
      </c>
      <c r="B249" t="s">
        <v>24</v>
      </c>
      <c r="C249" t="s">
        <v>212</v>
      </c>
      <c r="D249">
        <v>31234</v>
      </c>
      <c r="E249">
        <v>8</v>
      </c>
    </row>
    <row r="250" customHeight="1" spans="1:5">
      <c r="A250" t="s">
        <v>5</v>
      </c>
      <c r="B250" t="s">
        <v>191</v>
      </c>
      <c r="C250" t="s">
        <v>212</v>
      </c>
      <c r="D250">
        <v>85321</v>
      </c>
      <c r="E250">
        <v>6</v>
      </c>
    </row>
    <row r="251" customHeight="1" spans="1:5">
      <c r="A251" t="s">
        <v>30</v>
      </c>
      <c r="B251" t="s">
        <v>6</v>
      </c>
      <c r="C251" t="s">
        <v>217</v>
      </c>
      <c r="D251">
        <v>91725</v>
      </c>
      <c r="E251">
        <v>7</v>
      </c>
    </row>
    <row r="252" customHeight="1" spans="1:5">
      <c r="A252" t="s">
        <v>35</v>
      </c>
      <c r="B252" t="s">
        <v>205</v>
      </c>
      <c r="C252" t="s">
        <v>217</v>
      </c>
      <c r="D252">
        <v>56723</v>
      </c>
      <c r="E252">
        <v>7</v>
      </c>
    </row>
    <row r="253" customHeight="1" spans="1:5">
      <c r="A253" t="s">
        <v>33</v>
      </c>
      <c r="B253" t="s">
        <v>218</v>
      </c>
      <c r="C253" t="s">
        <v>217</v>
      </c>
      <c r="D253">
        <v>34323</v>
      </c>
      <c r="E253">
        <v>8</v>
      </c>
    </row>
    <row r="254" customHeight="1" spans="1:5">
      <c r="A254" t="s">
        <v>19</v>
      </c>
      <c r="B254" t="s">
        <v>133</v>
      </c>
      <c r="C254" t="s">
        <v>219</v>
      </c>
      <c r="D254">
        <v>68596</v>
      </c>
      <c r="E254">
        <v>3</v>
      </c>
    </row>
    <row r="255" customHeight="1" spans="1:5">
      <c r="A255" t="s">
        <v>5</v>
      </c>
      <c r="B255" t="s">
        <v>220</v>
      </c>
      <c r="C255" t="s">
        <v>219</v>
      </c>
      <c r="D255">
        <v>17386</v>
      </c>
      <c r="E255">
        <v>0</v>
      </c>
    </row>
    <row r="256" customHeight="1" spans="1:5">
      <c r="A256" t="s">
        <v>33</v>
      </c>
      <c r="B256" t="s">
        <v>221</v>
      </c>
      <c r="C256" t="s">
        <v>219</v>
      </c>
      <c r="D256">
        <v>50518</v>
      </c>
      <c r="E256">
        <v>6</v>
      </c>
    </row>
    <row r="257" customHeight="1" spans="1:5">
      <c r="A257" t="s">
        <v>14</v>
      </c>
      <c r="B257" t="s">
        <v>222</v>
      </c>
      <c r="C257" t="s">
        <v>219</v>
      </c>
      <c r="D257">
        <v>47345</v>
      </c>
      <c r="E257">
        <v>0</v>
      </c>
    </row>
    <row r="258" customHeight="1" spans="1:5">
      <c r="A258" t="s">
        <v>12</v>
      </c>
      <c r="B258" t="s">
        <v>181</v>
      </c>
      <c r="C258" t="s">
        <v>219</v>
      </c>
      <c r="D258">
        <v>42638</v>
      </c>
      <c r="E258">
        <v>7</v>
      </c>
    </row>
    <row r="259" customHeight="1" spans="1:5">
      <c r="A259" t="s">
        <v>14</v>
      </c>
      <c r="B259" t="s">
        <v>197</v>
      </c>
      <c r="C259" t="s">
        <v>219</v>
      </c>
      <c r="D259">
        <v>50258</v>
      </c>
      <c r="E259">
        <v>8</v>
      </c>
    </row>
    <row r="260" customHeight="1" spans="1:5">
      <c r="A260" t="s">
        <v>14</v>
      </c>
      <c r="B260" t="s">
        <v>78</v>
      </c>
      <c r="C260" t="s">
        <v>223</v>
      </c>
      <c r="D260">
        <v>16695</v>
      </c>
      <c r="E260">
        <v>7</v>
      </c>
    </row>
    <row r="261" customHeight="1" spans="1:5">
      <c r="A261" t="s">
        <v>5</v>
      </c>
      <c r="B261" t="s">
        <v>224</v>
      </c>
      <c r="C261" t="s">
        <v>223</v>
      </c>
      <c r="D261">
        <v>13287</v>
      </c>
      <c r="E261">
        <v>9</v>
      </c>
    </row>
    <row r="262" customHeight="1" spans="1:5">
      <c r="A262" t="s">
        <v>17</v>
      </c>
      <c r="B262" t="s">
        <v>54</v>
      </c>
      <c r="C262" t="s">
        <v>223</v>
      </c>
      <c r="D262">
        <v>13861</v>
      </c>
      <c r="E262">
        <v>6</v>
      </c>
    </row>
    <row r="263" customHeight="1" spans="1:5">
      <c r="A263" t="s">
        <v>35</v>
      </c>
      <c r="B263" t="s">
        <v>160</v>
      </c>
      <c r="C263" t="s">
        <v>223</v>
      </c>
      <c r="D263">
        <v>67529</v>
      </c>
      <c r="E263">
        <v>8</v>
      </c>
    </row>
    <row r="264" customHeight="1" spans="1:5">
      <c r="A264" t="s">
        <v>48</v>
      </c>
      <c r="B264" t="s">
        <v>225</v>
      </c>
      <c r="C264" t="s">
        <v>223</v>
      </c>
      <c r="D264">
        <v>49802</v>
      </c>
      <c r="E264">
        <v>6</v>
      </c>
    </row>
    <row r="265" customHeight="1" spans="1:5">
      <c r="A265" t="s">
        <v>8</v>
      </c>
      <c r="B265" t="s">
        <v>226</v>
      </c>
      <c r="C265" t="s">
        <v>223</v>
      </c>
      <c r="D265">
        <v>30022</v>
      </c>
      <c r="E265">
        <v>7</v>
      </c>
    </row>
    <row r="266" customHeight="1" spans="1:5">
      <c r="A266" t="s">
        <v>5</v>
      </c>
      <c r="B266" t="s">
        <v>116</v>
      </c>
      <c r="C266" t="s">
        <v>223</v>
      </c>
      <c r="D266">
        <v>65916</v>
      </c>
      <c r="E266">
        <v>7</v>
      </c>
    </row>
    <row r="267" customHeight="1" spans="1:5">
      <c r="A267" t="s">
        <v>48</v>
      </c>
      <c r="B267" t="s">
        <v>166</v>
      </c>
      <c r="C267" t="s">
        <v>223</v>
      </c>
      <c r="D267">
        <v>42465</v>
      </c>
      <c r="E267">
        <v>4</v>
      </c>
    </row>
    <row r="268" customHeight="1" spans="1:5">
      <c r="A268" t="s">
        <v>48</v>
      </c>
      <c r="B268" t="s">
        <v>117</v>
      </c>
      <c r="C268" t="s">
        <v>227</v>
      </c>
      <c r="D268">
        <v>56228</v>
      </c>
      <c r="E268">
        <v>2</v>
      </c>
    </row>
    <row r="269" customHeight="1" spans="1:5">
      <c r="A269" t="s">
        <v>17</v>
      </c>
      <c r="B269" t="s">
        <v>6</v>
      </c>
      <c r="C269" t="s">
        <v>227</v>
      </c>
      <c r="D269">
        <v>18886</v>
      </c>
      <c r="E269">
        <v>4</v>
      </c>
    </row>
    <row r="270" customHeight="1" spans="1:5">
      <c r="A270" t="s">
        <v>14</v>
      </c>
      <c r="B270" t="s">
        <v>225</v>
      </c>
      <c r="C270" t="s">
        <v>227</v>
      </c>
      <c r="D270">
        <v>65226</v>
      </c>
      <c r="E270">
        <v>6</v>
      </c>
    </row>
    <row r="271" customHeight="1" spans="1:5">
      <c r="A271" t="s">
        <v>10</v>
      </c>
      <c r="B271" t="s">
        <v>228</v>
      </c>
      <c r="C271" t="s">
        <v>229</v>
      </c>
      <c r="D271">
        <v>71328</v>
      </c>
      <c r="E271">
        <v>5</v>
      </c>
    </row>
    <row r="272" customHeight="1" spans="1:5">
      <c r="A272" t="s">
        <v>30</v>
      </c>
      <c r="B272" t="s">
        <v>9</v>
      </c>
      <c r="C272" t="s">
        <v>230</v>
      </c>
      <c r="D272">
        <v>35884</v>
      </c>
      <c r="E272">
        <v>7</v>
      </c>
    </row>
    <row r="273" customHeight="1" spans="1:5">
      <c r="A273" t="s">
        <v>33</v>
      </c>
      <c r="B273" t="s">
        <v>72</v>
      </c>
      <c r="C273" t="s">
        <v>230</v>
      </c>
      <c r="D273">
        <v>59353</v>
      </c>
      <c r="E273">
        <v>10</v>
      </c>
    </row>
    <row r="274" customHeight="1" spans="1:5">
      <c r="A274" t="s">
        <v>21</v>
      </c>
      <c r="B274" t="s">
        <v>231</v>
      </c>
      <c r="C274" t="s">
        <v>230</v>
      </c>
      <c r="D274">
        <v>58128</v>
      </c>
      <c r="E274">
        <v>4</v>
      </c>
    </row>
    <row r="275" customHeight="1" spans="1:5">
      <c r="A275" t="s">
        <v>8</v>
      </c>
      <c r="B275" t="s">
        <v>232</v>
      </c>
      <c r="C275" t="s">
        <v>230</v>
      </c>
      <c r="D275">
        <v>73133</v>
      </c>
      <c r="E275">
        <v>7</v>
      </c>
    </row>
    <row r="276" customHeight="1" spans="1:5">
      <c r="A276" t="s">
        <v>5</v>
      </c>
      <c r="B276" t="s">
        <v>160</v>
      </c>
      <c r="C276" t="s">
        <v>230</v>
      </c>
      <c r="D276">
        <v>96329</v>
      </c>
      <c r="E276">
        <v>8</v>
      </c>
    </row>
    <row r="277" customHeight="1" spans="1:5">
      <c r="A277" t="s">
        <v>17</v>
      </c>
      <c r="B277" t="s">
        <v>103</v>
      </c>
      <c r="C277" t="s">
        <v>233</v>
      </c>
      <c r="D277">
        <v>63190</v>
      </c>
      <c r="E277">
        <v>5</v>
      </c>
    </row>
    <row r="278" customHeight="1" spans="1:5">
      <c r="A278" t="s">
        <v>19</v>
      </c>
      <c r="B278" t="s">
        <v>167</v>
      </c>
      <c r="C278" t="s">
        <v>233</v>
      </c>
      <c r="D278">
        <v>88438</v>
      </c>
      <c r="E278">
        <v>1</v>
      </c>
    </row>
    <row r="279" customHeight="1" spans="1:5">
      <c r="A279" t="s">
        <v>17</v>
      </c>
      <c r="B279" t="s">
        <v>234</v>
      </c>
      <c r="C279" t="s">
        <v>233</v>
      </c>
      <c r="D279">
        <v>18535</v>
      </c>
      <c r="E279">
        <v>2</v>
      </c>
    </row>
    <row r="280" customHeight="1" spans="1:5">
      <c r="A280" t="s">
        <v>33</v>
      </c>
      <c r="B280" t="s">
        <v>113</v>
      </c>
      <c r="C280" t="s">
        <v>235</v>
      </c>
      <c r="D280">
        <v>54731</v>
      </c>
      <c r="E280">
        <v>3</v>
      </c>
    </row>
    <row r="281" customHeight="1" spans="1:5">
      <c r="A281" t="s">
        <v>48</v>
      </c>
      <c r="B281" t="s">
        <v>76</v>
      </c>
      <c r="C281" t="s">
        <v>235</v>
      </c>
      <c r="D281">
        <v>23738</v>
      </c>
      <c r="E281">
        <v>5</v>
      </c>
    </row>
    <row r="282" customHeight="1" spans="1:5">
      <c r="A282" t="s">
        <v>8</v>
      </c>
      <c r="B282" t="s">
        <v>103</v>
      </c>
      <c r="C282" t="s">
        <v>235</v>
      </c>
      <c r="D282">
        <v>85957</v>
      </c>
      <c r="E282">
        <v>10</v>
      </c>
    </row>
    <row r="283" customHeight="1" spans="1:5">
      <c r="A283" t="s">
        <v>21</v>
      </c>
      <c r="B283" t="s">
        <v>107</v>
      </c>
      <c r="C283" t="s">
        <v>235</v>
      </c>
      <c r="D283">
        <v>89781</v>
      </c>
      <c r="E283">
        <v>8</v>
      </c>
    </row>
    <row r="284" customHeight="1" spans="1:5">
      <c r="A284" t="s">
        <v>17</v>
      </c>
      <c r="B284" t="s">
        <v>236</v>
      </c>
      <c r="C284" t="s">
        <v>235</v>
      </c>
      <c r="D284">
        <v>41126</v>
      </c>
      <c r="E284">
        <v>7</v>
      </c>
    </row>
    <row r="285" customHeight="1" spans="1:5">
      <c r="A285" t="s">
        <v>19</v>
      </c>
      <c r="B285" t="s">
        <v>61</v>
      </c>
      <c r="C285" t="s">
        <v>235</v>
      </c>
      <c r="D285">
        <v>13146</v>
      </c>
      <c r="E285">
        <v>9</v>
      </c>
    </row>
    <row r="286" customHeight="1" spans="1:5">
      <c r="A286" t="s">
        <v>48</v>
      </c>
      <c r="B286" t="s">
        <v>237</v>
      </c>
      <c r="C286" t="s">
        <v>235</v>
      </c>
      <c r="D286">
        <v>83826</v>
      </c>
      <c r="E286">
        <v>5</v>
      </c>
    </row>
    <row r="287" customHeight="1" spans="1:5">
      <c r="A287" t="s">
        <v>30</v>
      </c>
      <c r="B287" t="s">
        <v>38</v>
      </c>
      <c r="C287" t="s">
        <v>235</v>
      </c>
      <c r="D287">
        <v>79923</v>
      </c>
      <c r="E287">
        <v>9</v>
      </c>
    </row>
    <row r="288" customHeight="1" spans="1:5">
      <c r="A288" t="s">
        <v>33</v>
      </c>
      <c r="B288" t="s">
        <v>162</v>
      </c>
      <c r="C288" t="s">
        <v>238</v>
      </c>
      <c r="D288">
        <v>95730</v>
      </c>
      <c r="E288">
        <v>4</v>
      </c>
    </row>
    <row r="289" customHeight="1" spans="1:5">
      <c r="A289" t="s">
        <v>5</v>
      </c>
      <c r="B289" t="s">
        <v>239</v>
      </c>
      <c r="C289" t="s">
        <v>238</v>
      </c>
      <c r="D289">
        <v>55154</v>
      </c>
      <c r="E289">
        <v>4</v>
      </c>
    </row>
    <row r="290" customHeight="1" spans="1:5">
      <c r="A290" t="s">
        <v>17</v>
      </c>
      <c r="B290" t="s">
        <v>240</v>
      </c>
      <c r="C290" t="s">
        <v>238</v>
      </c>
      <c r="D290">
        <v>19382</v>
      </c>
      <c r="E290">
        <v>7</v>
      </c>
    </row>
    <row r="291" customHeight="1" spans="1:5">
      <c r="A291" t="s">
        <v>19</v>
      </c>
      <c r="B291" t="s">
        <v>43</v>
      </c>
      <c r="C291" t="s">
        <v>238</v>
      </c>
      <c r="D291">
        <v>32942</v>
      </c>
      <c r="E291">
        <v>9</v>
      </c>
    </row>
    <row r="292" customHeight="1" spans="1:5">
      <c r="A292" t="s">
        <v>35</v>
      </c>
      <c r="B292" t="s">
        <v>185</v>
      </c>
      <c r="C292" t="s">
        <v>238</v>
      </c>
      <c r="D292">
        <v>42571</v>
      </c>
      <c r="E292">
        <v>2</v>
      </c>
    </row>
    <row r="293" customHeight="1" spans="1:5">
      <c r="A293" t="s">
        <v>5</v>
      </c>
      <c r="B293" t="s">
        <v>241</v>
      </c>
      <c r="C293" t="s">
        <v>242</v>
      </c>
      <c r="D293">
        <v>15755</v>
      </c>
      <c r="E293">
        <v>2</v>
      </c>
    </row>
    <row r="294" customHeight="1" spans="1:5">
      <c r="A294" t="s">
        <v>30</v>
      </c>
      <c r="B294" t="s">
        <v>13</v>
      </c>
      <c r="C294" t="s">
        <v>242</v>
      </c>
      <c r="D294">
        <v>20487</v>
      </c>
      <c r="E294">
        <v>8</v>
      </c>
    </row>
    <row r="295" customHeight="1" spans="1:5">
      <c r="A295" t="s">
        <v>48</v>
      </c>
      <c r="B295" t="s">
        <v>195</v>
      </c>
      <c r="C295" t="s">
        <v>243</v>
      </c>
      <c r="D295">
        <v>80244</v>
      </c>
      <c r="E295">
        <v>4</v>
      </c>
    </row>
    <row r="296" customHeight="1" spans="1:5">
      <c r="A296" t="s">
        <v>5</v>
      </c>
      <c r="B296" t="s">
        <v>114</v>
      </c>
      <c r="C296" t="s">
        <v>243</v>
      </c>
      <c r="D296">
        <v>87449</v>
      </c>
      <c r="E296">
        <v>7</v>
      </c>
    </row>
    <row r="297" customHeight="1" spans="1:5">
      <c r="A297" t="s">
        <v>8</v>
      </c>
      <c r="B297" t="s">
        <v>107</v>
      </c>
      <c r="C297" t="s">
        <v>243</v>
      </c>
      <c r="D297">
        <v>83460</v>
      </c>
      <c r="E297">
        <v>6</v>
      </c>
    </row>
    <row r="298" customHeight="1" spans="1:5">
      <c r="A298" t="s">
        <v>33</v>
      </c>
      <c r="B298" t="s">
        <v>176</v>
      </c>
      <c r="C298" t="s">
        <v>243</v>
      </c>
      <c r="D298">
        <v>40210</v>
      </c>
      <c r="E298">
        <v>6</v>
      </c>
    </row>
    <row r="299" customHeight="1" spans="1:5">
      <c r="A299" t="s">
        <v>35</v>
      </c>
      <c r="B299" t="s">
        <v>231</v>
      </c>
      <c r="C299" t="s">
        <v>243</v>
      </c>
      <c r="D299">
        <v>85649</v>
      </c>
      <c r="E299">
        <v>7</v>
      </c>
    </row>
    <row r="300" customHeight="1" spans="1:5">
      <c r="A300" t="s">
        <v>17</v>
      </c>
      <c r="B300" t="s">
        <v>50</v>
      </c>
      <c r="C300" t="s">
        <v>243</v>
      </c>
      <c r="D300">
        <v>16442</v>
      </c>
      <c r="E300">
        <v>2</v>
      </c>
    </row>
    <row r="301" customHeight="1" spans="1:5">
      <c r="A301" t="s">
        <v>12</v>
      </c>
      <c r="B301" t="s">
        <v>70</v>
      </c>
      <c r="C301" t="s">
        <v>243</v>
      </c>
      <c r="D301">
        <v>50501</v>
      </c>
      <c r="E301">
        <v>8</v>
      </c>
    </row>
    <row r="302" customHeight="1" spans="1:5">
      <c r="A302" t="s">
        <v>14</v>
      </c>
      <c r="B302" t="s">
        <v>89</v>
      </c>
      <c r="C302" t="s">
        <v>244</v>
      </c>
      <c r="D302">
        <v>74252</v>
      </c>
      <c r="E302">
        <v>4</v>
      </c>
    </row>
    <row r="303" customHeight="1" spans="1:5">
      <c r="A303" t="s">
        <v>21</v>
      </c>
      <c r="B303" t="s">
        <v>41</v>
      </c>
      <c r="C303" t="s">
        <v>244</v>
      </c>
      <c r="D303">
        <v>53582</v>
      </c>
      <c r="E303">
        <v>6</v>
      </c>
    </row>
    <row r="304" customHeight="1" spans="1:5">
      <c r="A304" t="s">
        <v>21</v>
      </c>
      <c r="B304" t="s">
        <v>245</v>
      </c>
      <c r="C304" t="s">
        <v>244</v>
      </c>
      <c r="D304">
        <v>89703</v>
      </c>
      <c r="E304">
        <v>8</v>
      </c>
    </row>
    <row r="305" customHeight="1" spans="1:5">
      <c r="A305" t="s">
        <v>8</v>
      </c>
      <c r="B305" t="s">
        <v>139</v>
      </c>
      <c r="C305" t="s">
        <v>246</v>
      </c>
      <c r="D305">
        <v>79476</v>
      </c>
      <c r="E305">
        <v>10</v>
      </c>
    </row>
    <row r="306" customHeight="1" spans="1:5">
      <c r="A306" t="s">
        <v>14</v>
      </c>
      <c r="B306" t="s">
        <v>104</v>
      </c>
      <c r="C306" t="s">
        <v>246</v>
      </c>
      <c r="D306">
        <v>41008</v>
      </c>
      <c r="E306">
        <v>2</v>
      </c>
    </row>
    <row r="307" customHeight="1" spans="1:5">
      <c r="A307" t="s">
        <v>30</v>
      </c>
      <c r="B307" t="s">
        <v>41</v>
      </c>
      <c r="C307" t="s">
        <v>246</v>
      </c>
      <c r="D307">
        <v>41550</v>
      </c>
      <c r="E307">
        <v>10</v>
      </c>
    </row>
    <row r="308" customHeight="1" spans="1:5">
      <c r="A308" t="s">
        <v>19</v>
      </c>
      <c r="B308" t="s">
        <v>58</v>
      </c>
      <c r="C308" t="s">
        <v>246</v>
      </c>
      <c r="D308">
        <v>90885</v>
      </c>
      <c r="E308">
        <v>8</v>
      </c>
    </row>
    <row r="309" customHeight="1" spans="1:5">
      <c r="A309" t="s">
        <v>48</v>
      </c>
      <c r="B309" t="s">
        <v>222</v>
      </c>
      <c r="C309" t="s">
        <v>246</v>
      </c>
      <c r="D309">
        <v>78254</v>
      </c>
      <c r="E309">
        <v>7</v>
      </c>
    </row>
    <row r="310" customHeight="1" spans="1:5">
      <c r="A310" t="s">
        <v>21</v>
      </c>
      <c r="B310" t="s">
        <v>50</v>
      </c>
      <c r="C310" t="s">
        <v>246</v>
      </c>
      <c r="D310">
        <v>19416</v>
      </c>
      <c r="E310">
        <v>7</v>
      </c>
    </row>
    <row r="311" customHeight="1" spans="1:5">
      <c r="A311" t="s">
        <v>14</v>
      </c>
      <c r="B311" t="s">
        <v>158</v>
      </c>
      <c r="C311" t="s">
        <v>246</v>
      </c>
      <c r="D311">
        <v>21750</v>
      </c>
      <c r="E311">
        <v>4</v>
      </c>
    </row>
    <row r="312" customHeight="1" spans="1:5">
      <c r="A312" t="s">
        <v>14</v>
      </c>
      <c r="B312" t="s">
        <v>209</v>
      </c>
      <c r="C312" t="s">
        <v>246</v>
      </c>
      <c r="D312">
        <v>49230</v>
      </c>
      <c r="E312">
        <v>6</v>
      </c>
    </row>
    <row r="313" customHeight="1" spans="1:5">
      <c r="A313" t="s">
        <v>8</v>
      </c>
      <c r="B313" t="s">
        <v>77</v>
      </c>
      <c r="C313" t="s">
        <v>246</v>
      </c>
      <c r="D313">
        <v>40124</v>
      </c>
      <c r="E313">
        <v>10</v>
      </c>
    </row>
    <row r="314" customHeight="1" spans="1:5">
      <c r="A314" t="s">
        <v>10</v>
      </c>
      <c r="B314" t="s">
        <v>75</v>
      </c>
      <c r="C314" t="s">
        <v>247</v>
      </c>
      <c r="D314">
        <v>44429</v>
      </c>
      <c r="E314">
        <v>3</v>
      </c>
    </row>
    <row r="315" customHeight="1" spans="1:5">
      <c r="A315" t="s">
        <v>12</v>
      </c>
      <c r="B315" t="s">
        <v>49</v>
      </c>
      <c r="C315" t="s">
        <v>247</v>
      </c>
      <c r="D315">
        <v>16766</v>
      </c>
      <c r="E315">
        <v>7</v>
      </c>
    </row>
    <row r="316" customHeight="1" spans="1:5">
      <c r="A316" t="s">
        <v>48</v>
      </c>
      <c r="B316" t="s">
        <v>34</v>
      </c>
      <c r="C316" t="s">
        <v>247</v>
      </c>
      <c r="D316">
        <v>90421</v>
      </c>
      <c r="E316">
        <v>1</v>
      </c>
    </row>
    <row r="317" customHeight="1" spans="1:5">
      <c r="A317" t="s">
        <v>30</v>
      </c>
      <c r="B317" t="s">
        <v>18</v>
      </c>
      <c r="C317" t="s">
        <v>247</v>
      </c>
      <c r="D317">
        <v>34704</v>
      </c>
      <c r="E317">
        <v>9</v>
      </c>
    </row>
    <row r="318" customHeight="1" spans="1:5">
      <c r="A318" t="s">
        <v>19</v>
      </c>
      <c r="B318" t="s">
        <v>146</v>
      </c>
      <c r="C318" t="s">
        <v>247</v>
      </c>
      <c r="D318">
        <v>46530</v>
      </c>
      <c r="E318">
        <v>9</v>
      </c>
    </row>
    <row r="319" customHeight="1" spans="1:5">
      <c r="A319" t="s">
        <v>5</v>
      </c>
      <c r="B319" t="s">
        <v>241</v>
      </c>
      <c r="C319" t="s">
        <v>248</v>
      </c>
      <c r="D319">
        <v>94072</v>
      </c>
      <c r="E319">
        <v>8</v>
      </c>
    </row>
    <row r="320" customHeight="1" spans="1:5">
      <c r="A320" t="s">
        <v>30</v>
      </c>
      <c r="B320" t="s">
        <v>249</v>
      </c>
      <c r="C320" t="s">
        <v>248</v>
      </c>
      <c r="D320">
        <v>44666</v>
      </c>
      <c r="E320">
        <v>7</v>
      </c>
    </row>
    <row r="321" customHeight="1" spans="1:5">
      <c r="A321" t="s">
        <v>33</v>
      </c>
      <c r="B321" t="s">
        <v>250</v>
      </c>
      <c r="C321" t="s">
        <v>251</v>
      </c>
      <c r="D321">
        <v>23300</v>
      </c>
      <c r="E321">
        <v>8</v>
      </c>
    </row>
    <row r="322" customHeight="1" spans="1:5">
      <c r="A322" t="s">
        <v>21</v>
      </c>
      <c r="B322" t="s">
        <v>145</v>
      </c>
      <c r="C322" t="s">
        <v>251</v>
      </c>
      <c r="D322">
        <v>19615</v>
      </c>
      <c r="E322">
        <v>7</v>
      </c>
    </row>
    <row r="323" customHeight="1" spans="1:5">
      <c r="A323" t="s">
        <v>48</v>
      </c>
      <c r="B323" t="s">
        <v>105</v>
      </c>
      <c r="C323" t="s">
        <v>252</v>
      </c>
      <c r="D323">
        <v>31377</v>
      </c>
      <c r="E323">
        <v>10</v>
      </c>
    </row>
    <row r="324" customHeight="1" spans="1:5">
      <c r="A324" t="s">
        <v>12</v>
      </c>
      <c r="B324" t="s">
        <v>253</v>
      </c>
      <c r="C324" t="s">
        <v>252</v>
      </c>
      <c r="D324">
        <v>34280</v>
      </c>
      <c r="E324">
        <v>9</v>
      </c>
    </row>
    <row r="325" customHeight="1" spans="1:5">
      <c r="A325" t="s">
        <v>10</v>
      </c>
      <c r="B325" t="s">
        <v>204</v>
      </c>
      <c r="C325" t="s">
        <v>252</v>
      </c>
      <c r="D325">
        <v>31662</v>
      </c>
      <c r="E325">
        <v>7</v>
      </c>
    </row>
    <row r="326" customHeight="1" spans="1:5">
      <c r="A326" t="s">
        <v>21</v>
      </c>
      <c r="B326" t="s">
        <v>197</v>
      </c>
      <c r="C326" t="s">
        <v>254</v>
      </c>
      <c r="D326">
        <v>65059</v>
      </c>
      <c r="E326">
        <v>6</v>
      </c>
    </row>
    <row r="327" customHeight="1" spans="1:5">
      <c r="A327" t="s">
        <v>33</v>
      </c>
      <c r="B327" t="s">
        <v>149</v>
      </c>
      <c r="C327" t="s">
        <v>254</v>
      </c>
      <c r="D327">
        <v>29551</v>
      </c>
      <c r="E327">
        <v>4</v>
      </c>
    </row>
    <row r="328" customHeight="1" spans="1:5">
      <c r="A328" t="s">
        <v>12</v>
      </c>
      <c r="B328" t="s">
        <v>140</v>
      </c>
      <c r="C328" t="s">
        <v>254</v>
      </c>
      <c r="D328">
        <v>51901</v>
      </c>
      <c r="E328">
        <v>8</v>
      </c>
    </row>
    <row r="329" customHeight="1" spans="1:5">
      <c r="A329" t="s">
        <v>14</v>
      </c>
      <c r="B329" t="s">
        <v>232</v>
      </c>
      <c r="C329" t="s">
        <v>254</v>
      </c>
      <c r="D329">
        <v>27681</v>
      </c>
      <c r="E329">
        <v>3</v>
      </c>
    </row>
    <row r="330" customHeight="1" spans="1:5">
      <c r="A330" t="s">
        <v>33</v>
      </c>
      <c r="B330" t="s">
        <v>103</v>
      </c>
      <c r="C330" t="s">
        <v>255</v>
      </c>
      <c r="D330">
        <v>53412</v>
      </c>
      <c r="E330">
        <v>3</v>
      </c>
    </row>
    <row r="331" customHeight="1" spans="1:5">
      <c r="A331" t="s">
        <v>10</v>
      </c>
      <c r="B331" t="s">
        <v>256</v>
      </c>
      <c r="C331" t="s">
        <v>255</v>
      </c>
      <c r="D331">
        <v>41856</v>
      </c>
      <c r="E331">
        <v>3</v>
      </c>
    </row>
    <row r="332" customHeight="1" spans="1:5">
      <c r="A332" t="s">
        <v>12</v>
      </c>
      <c r="B332" t="s">
        <v>226</v>
      </c>
      <c r="C332" t="s">
        <v>257</v>
      </c>
      <c r="D332">
        <v>49880</v>
      </c>
      <c r="E332">
        <v>8</v>
      </c>
    </row>
    <row r="333" customHeight="1" spans="1:5">
      <c r="A333" t="s">
        <v>12</v>
      </c>
      <c r="B333" t="s">
        <v>258</v>
      </c>
      <c r="C333" t="s">
        <v>259</v>
      </c>
      <c r="D333">
        <v>71105</v>
      </c>
      <c r="E333">
        <v>7</v>
      </c>
    </row>
    <row r="334" customHeight="1" spans="1:5">
      <c r="A334" t="s">
        <v>19</v>
      </c>
      <c r="B334" t="s">
        <v>214</v>
      </c>
      <c r="C334" t="s">
        <v>259</v>
      </c>
      <c r="D334">
        <v>95915</v>
      </c>
      <c r="E334">
        <v>7</v>
      </c>
    </row>
    <row r="335" customHeight="1" spans="1:5">
      <c r="A335" t="s">
        <v>35</v>
      </c>
      <c r="B335" t="s">
        <v>45</v>
      </c>
      <c r="C335" t="s">
        <v>259</v>
      </c>
      <c r="D335">
        <v>47377</v>
      </c>
      <c r="E335">
        <v>8</v>
      </c>
    </row>
    <row r="336" customHeight="1" spans="1:5">
      <c r="A336" t="s">
        <v>19</v>
      </c>
      <c r="B336" t="s">
        <v>260</v>
      </c>
      <c r="C336" t="s">
        <v>259</v>
      </c>
      <c r="D336">
        <v>44740</v>
      </c>
      <c r="E336">
        <v>5</v>
      </c>
    </row>
    <row r="337" customHeight="1" spans="1:5">
      <c r="A337" t="s">
        <v>10</v>
      </c>
      <c r="B337" t="s">
        <v>261</v>
      </c>
      <c r="C337" t="s">
        <v>262</v>
      </c>
      <c r="D337">
        <v>47785</v>
      </c>
      <c r="E337">
        <v>8</v>
      </c>
    </row>
    <row r="338" customHeight="1" spans="1:5">
      <c r="A338" t="s">
        <v>33</v>
      </c>
      <c r="B338" t="s">
        <v>263</v>
      </c>
      <c r="C338" t="s">
        <v>262</v>
      </c>
      <c r="D338">
        <v>67696</v>
      </c>
      <c r="E338">
        <v>2</v>
      </c>
    </row>
    <row r="339" customHeight="1" spans="1:5">
      <c r="A339" t="s">
        <v>14</v>
      </c>
      <c r="B339" t="s">
        <v>264</v>
      </c>
      <c r="C339" t="s">
        <v>262</v>
      </c>
      <c r="D339">
        <v>90776</v>
      </c>
      <c r="E339">
        <v>8</v>
      </c>
    </row>
    <row r="340" customHeight="1" spans="1:5">
      <c r="A340" t="s">
        <v>30</v>
      </c>
      <c r="B340" t="s">
        <v>18</v>
      </c>
      <c r="C340" t="s">
        <v>262</v>
      </c>
      <c r="D340">
        <v>16068</v>
      </c>
      <c r="E340">
        <v>8</v>
      </c>
    </row>
    <row r="341" customHeight="1" spans="1:5">
      <c r="A341" t="s">
        <v>12</v>
      </c>
      <c r="B341" t="s">
        <v>265</v>
      </c>
      <c r="C341" t="s">
        <v>266</v>
      </c>
      <c r="D341">
        <v>75557</v>
      </c>
      <c r="E341">
        <v>8</v>
      </c>
    </row>
    <row r="342" customHeight="1" spans="1:5">
      <c r="A342" t="s">
        <v>12</v>
      </c>
      <c r="B342" t="s">
        <v>267</v>
      </c>
      <c r="C342" t="s">
        <v>266</v>
      </c>
      <c r="D342">
        <v>37166</v>
      </c>
      <c r="E342">
        <v>7</v>
      </c>
    </row>
    <row r="343" customHeight="1" spans="1:5">
      <c r="A343" t="s">
        <v>21</v>
      </c>
      <c r="B343" t="s">
        <v>161</v>
      </c>
      <c r="C343" t="s">
        <v>268</v>
      </c>
      <c r="D343">
        <v>36458</v>
      </c>
      <c r="E343">
        <v>5</v>
      </c>
    </row>
    <row r="344" customHeight="1" spans="1:5">
      <c r="A344" t="s">
        <v>14</v>
      </c>
      <c r="B344" t="s">
        <v>269</v>
      </c>
      <c r="C344" t="s">
        <v>268</v>
      </c>
      <c r="D344">
        <v>29945</v>
      </c>
      <c r="E344">
        <v>7</v>
      </c>
    </row>
    <row r="345" customHeight="1" spans="1:5">
      <c r="A345" t="s">
        <v>5</v>
      </c>
      <c r="B345" t="s">
        <v>87</v>
      </c>
      <c r="C345" t="s">
        <v>268</v>
      </c>
      <c r="D345">
        <v>57419</v>
      </c>
      <c r="E345">
        <v>7</v>
      </c>
    </row>
    <row r="346" customHeight="1" spans="1:5">
      <c r="A346" t="s">
        <v>33</v>
      </c>
      <c r="B346" t="s">
        <v>231</v>
      </c>
      <c r="C346" t="s">
        <v>270</v>
      </c>
      <c r="D346">
        <v>84090</v>
      </c>
      <c r="E346">
        <v>3</v>
      </c>
    </row>
    <row r="347" customHeight="1" spans="1:5">
      <c r="A347" t="s">
        <v>8</v>
      </c>
      <c r="B347" t="s">
        <v>271</v>
      </c>
      <c r="C347" t="s">
        <v>272</v>
      </c>
      <c r="D347">
        <v>80822</v>
      </c>
      <c r="E347">
        <v>5</v>
      </c>
    </row>
    <row r="348" customHeight="1" spans="1:5">
      <c r="A348" t="s">
        <v>30</v>
      </c>
      <c r="B348" t="s">
        <v>102</v>
      </c>
      <c r="C348" t="s">
        <v>272</v>
      </c>
      <c r="D348">
        <v>20479</v>
      </c>
      <c r="E348">
        <v>8</v>
      </c>
    </row>
    <row r="349" customHeight="1" spans="1:5">
      <c r="A349" t="s">
        <v>30</v>
      </c>
      <c r="B349" t="s">
        <v>128</v>
      </c>
      <c r="C349" t="s">
        <v>272</v>
      </c>
      <c r="D349">
        <v>32303</v>
      </c>
      <c r="E349">
        <v>6</v>
      </c>
    </row>
    <row r="350" customHeight="1" spans="1:5">
      <c r="A350" t="s">
        <v>19</v>
      </c>
      <c r="B350" t="s">
        <v>271</v>
      </c>
      <c r="C350" t="s">
        <v>272</v>
      </c>
      <c r="D350">
        <v>80511</v>
      </c>
      <c r="E350">
        <v>8</v>
      </c>
    </row>
    <row r="351" customHeight="1" spans="1:5">
      <c r="A351" t="s">
        <v>14</v>
      </c>
      <c r="B351" t="s">
        <v>273</v>
      </c>
      <c r="C351" t="s">
        <v>272</v>
      </c>
      <c r="D351">
        <v>45035</v>
      </c>
      <c r="E351">
        <v>5</v>
      </c>
    </row>
    <row r="352" customHeight="1" spans="1:5">
      <c r="A352" t="s">
        <v>19</v>
      </c>
      <c r="B352" t="s">
        <v>274</v>
      </c>
      <c r="C352" t="s">
        <v>272</v>
      </c>
      <c r="D352">
        <v>57478</v>
      </c>
      <c r="E352">
        <v>4</v>
      </c>
    </row>
    <row r="353" customHeight="1" spans="1:5">
      <c r="A353" t="s">
        <v>35</v>
      </c>
      <c r="B353" t="s">
        <v>265</v>
      </c>
      <c r="C353" t="s">
        <v>275</v>
      </c>
      <c r="D353">
        <v>27445</v>
      </c>
      <c r="E353">
        <v>10</v>
      </c>
    </row>
    <row r="354" customHeight="1" spans="1:5">
      <c r="A354" t="s">
        <v>14</v>
      </c>
      <c r="B354" t="s">
        <v>86</v>
      </c>
      <c r="C354" t="s">
        <v>275</v>
      </c>
      <c r="D354">
        <v>21427</v>
      </c>
      <c r="E354">
        <v>7</v>
      </c>
    </row>
    <row r="355" customHeight="1" spans="1:5">
      <c r="A355" t="s">
        <v>12</v>
      </c>
      <c r="B355" t="s">
        <v>9</v>
      </c>
      <c r="C355" t="s">
        <v>275</v>
      </c>
      <c r="D355">
        <v>95427</v>
      </c>
      <c r="E355">
        <v>8</v>
      </c>
    </row>
    <row r="356" customHeight="1" spans="1:5">
      <c r="A356" t="s">
        <v>33</v>
      </c>
      <c r="B356" t="s">
        <v>256</v>
      </c>
      <c r="C356" t="s">
        <v>275</v>
      </c>
      <c r="D356">
        <v>89492</v>
      </c>
      <c r="E356">
        <v>9</v>
      </c>
    </row>
    <row r="357" customHeight="1" spans="1:5">
      <c r="A357" t="s">
        <v>14</v>
      </c>
      <c r="B357" t="s">
        <v>166</v>
      </c>
      <c r="C357" t="s">
        <v>275</v>
      </c>
      <c r="D357">
        <v>19501</v>
      </c>
      <c r="E357">
        <v>6</v>
      </c>
    </row>
    <row r="358" customHeight="1" spans="1:5">
      <c r="A358" t="s">
        <v>17</v>
      </c>
      <c r="B358" t="s">
        <v>45</v>
      </c>
      <c r="C358" t="s">
        <v>275</v>
      </c>
      <c r="D358">
        <v>73435</v>
      </c>
      <c r="E358">
        <v>4</v>
      </c>
    </row>
    <row r="359" customHeight="1" spans="1:5">
      <c r="A359" t="s">
        <v>19</v>
      </c>
      <c r="B359" t="s">
        <v>260</v>
      </c>
      <c r="C359" t="s">
        <v>275</v>
      </c>
      <c r="D359">
        <v>62350</v>
      </c>
      <c r="E359">
        <v>3</v>
      </c>
    </row>
    <row r="360" customHeight="1" spans="1:5">
      <c r="A360" t="s">
        <v>12</v>
      </c>
      <c r="B360" t="s">
        <v>38</v>
      </c>
      <c r="C360" t="s">
        <v>275</v>
      </c>
      <c r="D360">
        <v>17781</v>
      </c>
      <c r="E360">
        <v>6</v>
      </c>
    </row>
    <row r="361" customHeight="1" spans="1:5">
      <c r="A361" t="s">
        <v>21</v>
      </c>
      <c r="B361" t="s">
        <v>205</v>
      </c>
      <c r="C361" t="s">
        <v>275</v>
      </c>
      <c r="D361">
        <v>12641</v>
      </c>
      <c r="E361">
        <v>4</v>
      </c>
    </row>
    <row r="362" customHeight="1" spans="1:5">
      <c r="A362" t="s">
        <v>35</v>
      </c>
      <c r="B362" t="s">
        <v>241</v>
      </c>
      <c r="C362" t="s">
        <v>275</v>
      </c>
      <c r="D362">
        <v>46541</v>
      </c>
      <c r="E362">
        <v>7</v>
      </c>
    </row>
    <row r="363" customHeight="1" spans="1:5">
      <c r="A363" t="s">
        <v>14</v>
      </c>
      <c r="B363" t="s">
        <v>72</v>
      </c>
      <c r="C363" t="s">
        <v>275</v>
      </c>
      <c r="D363">
        <v>93513</v>
      </c>
      <c r="E363">
        <v>6</v>
      </c>
    </row>
    <row r="364" customHeight="1" spans="1:5">
      <c r="A364" t="s">
        <v>33</v>
      </c>
      <c r="B364" t="s">
        <v>144</v>
      </c>
      <c r="C364" t="s">
        <v>276</v>
      </c>
      <c r="D364">
        <v>98395</v>
      </c>
      <c r="E364">
        <v>4</v>
      </c>
    </row>
    <row r="365" customHeight="1" spans="1:5">
      <c r="A365" t="s">
        <v>8</v>
      </c>
      <c r="B365" t="s">
        <v>265</v>
      </c>
      <c r="C365" t="s">
        <v>276</v>
      </c>
      <c r="D365">
        <v>44277</v>
      </c>
      <c r="E365">
        <v>1</v>
      </c>
    </row>
    <row r="366" customHeight="1" spans="1:5">
      <c r="A366" t="s">
        <v>48</v>
      </c>
      <c r="B366" t="s">
        <v>277</v>
      </c>
      <c r="C366" t="s">
        <v>278</v>
      </c>
      <c r="D366">
        <v>28545</v>
      </c>
      <c r="E366">
        <v>8</v>
      </c>
    </row>
    <row r="367" customHeight="1" spans="1:5">
      <c r="A367" t="s">
        <v>21</v>
      </c>
      <c r="B367" t="s">
        <v>271</v>
      </c>
      <c r="C367" t="s">
        <v>278</v>
      </c>
      <c r="D367">
        <v>29389</v>
      </c>
      <c r="E367">
        <v>5</v>
      </c>
    </row>
    <row r="368" customHeight="1" spans="1:5">
      <c r="A368" t="s">
        <v>14</v>
      </c>
      <c r="B368" t="s">
        <v>279</v>
      </c>
      <c r="C368" t="s">
        <v>280</v>
      </c>
      <c r="D368">
        <v>48855</v>
      </c>
      <c r="E368">
        <v>3</v>
      </c>
    </row>
    <row r="369" customHeight="1" spans="1:5">
      <c r="A369" t="s">
        <v>10</v>
      </c>
      <c r="B369" t="s">
        <v>131</v>
      </c>
      <c r="C369" t="s">
        <v>280</v>
      </c>
      <c r="D369">
        <v>59674</v>
      </c>
      <c r="E369">
        <v>8</v>
      </c>
    </row>
    <row r="370" customHeight="1" spans="1:5">
      <c r="A370" t="s">
        <v>48</v>
      </c>
      <c r="B370" t="s">
        <v>98</v>
      </c>
      <c r="C370" t="s">
        <v>280</v>
      </c>
      <c r="D370">
        <v>16630</v>
      </c>
      <c r="E370">
        <v>7</v>
      </c>
    </row>
    <row r="371" customHeight="1" spans="1:5">
      <c r="A371" t="s">
        <v>48</v>
      </c>
      <c r="B371" t="s">
        <v>78</v>
      </c>
      <c r="C371" t="s">
        <v>280</v>
      </c>
      <c r="D371">
        <v>65518</v>
      </c>
      <c r="E371">
        <v>8</v>
      </c>
    </row>
    <row r="372" customHeight="1" spans="1:5">
      <c r="A372" t="s">
        <v>30</v>
      </c>
      <c r="B372" t="s">
        <v>281</v>
      </c>
      <c r="C372" t="s">
        <v>280</v>
      </c>
      <c r="D372">
        <v>86774</v>
      </c>
      <c r="E372">
        <v>10</v>
      </c>
    </row>
    <row r="373" customHeight="1" spans="1:5">
      <c r="A373" t="s">
        <v>5</v>
      </c>
      <c r="B373" t="s">
        <v>245</v>
      </c>
      <c r="C373" t="s">
        <v>280</v>
      </c>
      <c r="D373">
        <v>21682</v>
      </c>
      <c r="E373">
        <v>9</v>
      </c>
    </row>
    <row r="374" customHeight="1" spans="1:5">
      <c r="A374" t="s">
        <v>10</v>
      </c>
      <c r="B374" t="s">
        <v>130</v>
      </c>
      <c r="C374" t="s">
        <v>280</v>
      </c>
      <c r="D374">
        <v>99987</v>
      </c>
      <c r="E374">
        <v>5</v>
      </c>
    </row>
    <row r="375" customHeight="1" spans="1:5">
      <c r="A375" t="s">
        <v>12</v>
      </c>
      <c r="B375" t="s">
        <v>68</v>
      </c>
      <c r="C375" t="s">
        <v>282</v>
      </c>
      <c r="D375">
        <v>37400</v>
      </c>
      <c r="E375">
        <v>8</v>
      </c>
    </row>
    <row r="376" customHeight="1" spans="1:5">
      <c r="A376" t="s">
        <v>35</v>
      </c>
      <c r="B376" t="s">
        <v>239</v>
      </c>
      <c r="C376" t="s">
        <v>282</v>
      </c>
      <c r="D376">
        <v>65974</v>
      </c>
      <c r="E376">
        <v>7</v>
      </c>
    </row>
    <row r="377" customHeight="1" spans="1:5">
      <c r="A377" t="s">
        <v>12</v>
      </c>
      <c r="B377" t="s">
        <v>29</v>
      </c>
      <c r="C377" t="s">
        <v>282</v>
      </c>
      <c r="D377">
        <v>65122</v>
      </c>
      <c r="E377">
        <v>5</v>
      </c>
    </row>
    <row r="378" customHeight="1" spans="1:5">
      <c r="A378" t="s">
        <v>17</v>
      </c>
      <c r="B378" t="s">
        <v>269</v>
      </c>
      <c r="C378" t="s">
        <v>282</v>
      </c>
      <c r="D378">
        <v>59852</v>
      </c>
      <c r="E378">
        <v>7</v>
      </c>
    </row>
    <row r="379" customHeight="1" spans="1:5">
      <c r="A379" t="s">
        <v>21</v>
      </c>
      <c r="B379" t="s">
        <v>204</v>
      </c>
      <c r="C379" t="s">
        <v>282</v>
      </c>
      <c r="D379">
        <v>48759</v>
      </c>
      <c r="E379">
        <v>9</v>
      </c>
    </row>
    <row r="380" customHeight="1" spans="1:5">
      <c r="A380" t="s">
        <v>35</v>
      </c>
      <c r="B380" t="s">
        <v>40</v>
      </c>
      <c r="C380" t="s">
        <v>282</v>
      </c>
      <c r="D380">
        <v>60695</v>
      </c>
      <c r="E380">
        <v>5</v>
      </c>
    </row>
    <row r="381" customHeight="1" spans="1:5">
      <c r="A381" t="s">
        <v>35</v>
      </c>
      <c r="B381" t="s">
        <v>65</v>
      </c>
      <c r="C381" t="s">
        <v>283</v>
      </c>
      <c r="D381">
        <v>78439</v>
      </c>
      <c r="E381">
        <v>7</v>
      </c>
    </row>
    <row r="382" customHeight="1" spans="1:5">
      <c r="A382" t="s">
        <v>12</v>
      </c>
      <c r="B382" t="s">
        <v>37</v>
      </c>
      <c r="C382" t="s">
        <v>283</v>
      </c>
      <c r="D382">
        <v>20321</v>
      </c>
      <c r="E382">
        <v>6</v>
      </c>
    </row>
    <row r="383" customHeight="1" spans="1:5">
      <c r="A383" t="s">
        <v>5</v>
      </c>
      <c r="B383" t="s">
        <v>59</v>
      </c>
      <c r="C383" t="s">
        <v>283</v>
      </c>
      <c r="D383">
        <v>84514</v>
      </c>
      <c r="E383">
        <v>4</v>
      </c>
    </row>
    <row r="384" customHeight="1" spans="1:5">
      <c r="A384" t="s">
        <v>33</v>
      </c>
      <c r="B384" t="s">
        <v>284</v>
      </c>
      <c r="C384" t="s">
        <v>283</v>
      </c>
      <c r="D384">
        <v>77737</v>
      </c>
      <c r="E384">
        <v>8</v>
      </c>
    </row>
    <row r="385" customHeight="1" spans="1:5">
      <c r="A385" t="s">
        <v>17</v>
      </c>
      <c r="B385" t="s">
        <v>285</v>
      </c>
      <c r="C385" t="s">
        <v>283</v>
      </c>
      <c r="D385">
        <v>44225</v>
      </c>
      <c r="E385">
        <v>7</v>
      </c>
    </row>
    <row r="386" customHeight="1" spans="1:5">
      <c r="A386" t="s">
        <v>5</v>
      </c>
      <c r="B386" t="s">
        <v>271</v>
      </c>
      <c r="C386" t="s">
        <v>283</v>
      </c>
      <c r="D386">
        <v>78921</v>
      </c>
      <c r="E386">
        <v>3</v>
      </c>
    </row>
    <row r="387" customHeight="1" spans="1:5">
      <c r="A387" t="s">
        <v>14</v>
      </c>
      <c r="B387" t="s">
        <v>107</v>
      </c>
      <c r="C387" t="s">
        <v>286</v>
      </c>
      <c r="D387">
        <v>64554</v>
      </c>
      <c r="E387">
        <v>2</v>
      </c>
    </row>
    <row r="388" customHeight="1" spans="1:5">
      <c r="A388" t="s">
        <v>30</v>
      </c>
      <c r="B388" t="s">
        <v>287</v>
      </c>
      <c r="C388" t="s">
        <v>288</v>
      </c>
      <c r="D388">
        <v>59353</v>
      </c>
      <c r="E388">
        <v>8</v>
      </c>
    </row>
    <row r="389" customHeight="1" spans="1:5">
      <c r="A389" t="s">
        <v>19</v>
      </c>
      <c r="B389" t="s">
        <v>99</v>
      </c>
      <c r="C389" t="s">
        <v>288</v>
      </c>
      <c r="D389">
        <v>91956</v>
      </c>
      <c r="E389">
        <v>9</v>
      </c>
    </row>
    <row r="390" customHeight="1" spans="1:5">
      <c r="A390" t="s">
        <v>19</v>
      </c>
      <c r="B390" t="s">
        <v>41</v>
      </c>
      <c r="C390" t="s">
        <v>288</v>
      </c>
      <c r="D390">
        <v>37731</v>
      </c>
      <c r="E390">
        <v>9</v>
      </c>
    </row>
    <row r="391" customHeight="1" spans="1:5">
      <c r="A391" t="s">
        <v>48</v>
      </c>
      <c r="B391" t="s">
        <v>261</v>
      </c>
      <c r="C391" t="s">
        <v>288</v>
      </c>
      <c r="D391">
        <v>91493</v>
      </c>
      <c r="E391">
        <v>6</v>
      </c>
    </row>
    <row r="392" customHeight="1" spans="1:5">
      <c r="A392" t="s">
        <v>19</v>
      </c>
      <c r="B392" t="s">
        <v>289</v>
      </c>
      <c r="C392" t="s">
        <v>290</v>
      </c>
      <c r="D392">
        <v>59165</v>
      </c>
      <c r="E392">
        <v>5</v>
      </c>
    </row>
    <row r="393" customHeight="1" spans="1:5">
      <c r="A393" t="s">
        <v>17</v>
      </c>
      <c r="B393" t="s">
        <v>160</v>
      </c>
      <c r="C393" t="s">
        <v>291</v>
      </c>
      <c r="D393">
        <v>88644</v>
      </c>
      <c r="E393">
        <v>7</v>
      </c>
    </row>
    <row r="394" customHeight="1" spans="1:5">
      <c r="A394" t="s">
        <v>5</v>
      </c>
      <c r="B394" t="s">
        <v>164</v>
      </c>
      <c r="C394" t="s">
        <v>291</v>
      </c>
      <c r="D394">
        <v>35638</v>
      </c>
      <c r="E394">
        <v>8</v>
      </c>
    </row>
    <row r="395" customHeight="1" spans="1:5">
      <c r="A395" t="s">
        <v>19</v>
      </c>
      <c r="B395" t="s">
        <v>75</v>
      </c>
      <c r="C395" t="s">
        <v>291</v>
      </c>
      <c r="D395">
        <v>85800</v>
      </c>
      <c r="E395">
        <v>4</v>
      </c>
    </row>
    <row r="396" customHeight="1" spans="1:5">
      <c r="A396" t="s">
        <v>10</v>
      </c>
      <c r="B396" t="s">
        <v>178</v>
      </c>
      <c r="C396" t="s">
        <v>291</v>
      </c>
      <c r="D396">
        <v>46540</v>
      </c>
      <c r="E396">
        <v>8</v>
      </c>
    </row>
    <row r="397" customHeight="1" spans="1:5">
      <c r="A397" t="s">
        <v>35</v>
      </c>
      <c r="B397" t="s">
        <v>151</v>
      </c>
      <c r="C397" t="s">
        <v>291</v>
      </c>
      <c r="D397">
        <v>82604</v>
      </c>
      <c r="E397">
        <v>6</v>
      </c>
    </row>
    <row r="398" customHeight="1" spans="1:5">
      <c r="A398" t="s">
        <v>12</v>
      </c>
      <c r="B398" t="s">
        <v>20</v>
      </c>
      <c r="C398" t="s">
        <v>291</v>
      </c>
      <c r="D398">
        <v>43160</v>
      </c>
      <c r="E398">
        <v>9</v>
      </c>
    </row>
    <row r="399" customHeight="1" spans="1:5">
      <c r="A399" t="s">
        <v>21</v>
      </c>
      <c r="B399" t="s">
        <v>292</v>
      </c>
      <c r="C399" t="s">
        <v>291</v>
      </c>
      <c r="D399">
        <v>90800</v>
      </c>
      <c r="E399">
        <v>7</v>
      </c>
    </row>
    <row r="400" customHeight="1" spans="1:5">
      <c r="A400" t="s">
        <v>12</v>
      </c>
      <c r="B400" t="s">
        <v>29</v>
      </c>
      <c r="C400" t="s">
        <v>291</v>
      </c>
      <c r="D400">
        <v>51206</v>
      </c>
      <c r="E400">
        <v>1</v>
      </c>
    </row>
    <row r="401" customHeight="1" spans="1:5">
      <c r="A401" t="s">
        <v>5</v>
      </c>
      <c r="B401" t="s">
        <v>293</v>
      </c>
      <c r="C401" t="s">
        <v>294</v>
      </c>
      <c r="D401">
        <v>44381</v>
      </c>
      <c r="E401">
        <v>9</v>
      </c>
    </row>
    <row r="402" customHeight="1" spans="1:5">
      <c r="A402" t="s">
        <v>35</v>
      </c>
      <c r="B402" t="s">
        <v>99</v>
      </c>
      <c r="C402" t="s">
        <v>294</v>
      </c>
      <c r="D402">
        <v>72326</v>
      </c>
      <c r="E402">
        <v>1</v>
      </c>
    </row>
    <row r="403" customHeight="1" spans="1:5">
      <c r="A403" t="s">
        <v>5</v>
      </c>
      <c r="B403" t="s">
        <v>146</v>
      </c>
      <c r="C403" t="s">
        <v>294</v>
      </c>
      <c r="D403">
        <v>72221</v>
      </c>
      <c r="E403">
        <v>7</v>
      </c>
    </row>
    <row r="404" customHeight="1" spans="1:5">
      <c r="A404" t="s">
        <v>30</v>
      </c>
      <c r="B404" t="s">
        <v>85</v>
      </c>
      <c r="C404" t="s">
        <v>294</v>
      </c>
      <c r="D404">
        <v>18800</v>
      </c>
      <c r="E404">
        <v>6</v>
      </c>
    </row>
    <row r="405" customHeight="1" spans="1:5">
      <c r="A405" t="s">
        <v>48</v>
      </c>
      <c r="B405" t="s">
        <v>184</v>
      </c>
      <c r="C405" t="s">
        <v>294</v>
      </c>
      <c r="D405">
        <v>97797</v>
      </c>
      <c r="E405">
        <v>5</v>
      </c>
    </row>
    <row r="406" customHeight="1" spans="1:5">
      <c r="A406" t="s">
        <v>8</v>
      </c>
      <c r="B406" t="s">
        <v>72</v>
      </c>
      <c r="C406" t="s">
        <v>295</v>
      </c>
      <c r="D406">
        <v>53495</v>
      </c>
      <c r="E406">
        <v>7</v>
      </c>
    </row>
    <row r="407" customHeight="1" spans="1:5">
      <c r="A407" t="s">
        <v>12</v>
      </c>
      <c r="B407" t="s">
        <v>296</v>
      </c>
      <c r="C407" t="s">
        <v>295</v>
      </c>
      <c r="D407">
        <v>94751</v>
      </c>
      <c r="E407">
        <v>4</v>
      </c>
    </row>
    <row r="408" customHeight="1" spans="1:5">
      <c r="A408" t="s">
        <v>33</v>
      </c>
      <c r="B408" t="s">
        <v>224</v>
      </c>
      <c r="C408" t="s">
        <v>295</v>
      </c>
      <c r="D408">
        <v>73866</v>
      </c>
      <c r="E408">
        <v>4</v>
      </c>
    </row>
    <row r="409" customHeight="1" spans="1:5">
      <c r="A409" t="s">
        <v>10</v>
      </c>
      <c r="B409" t="s">
        <v>66</v>
      </c>
      <c r="C409" t="s">
        <v>295</v>
      </c>
      <c r="D409">
        <v>85234</v>
      </c>
      <c r="E409">
        <v>7</v>
      </c>
    </row>
    <row r="410" customHeight="1" spans="1:5">
      <c r="A410" t="s">
        <v>33</v>
      </c>
      <c r="B410" t="s">
        <v>38</v>
      </c>
      <c r="C410" t="s">
        <v>297</v>
      </c>
      <c r="D410">
        <v>94305</v>
      </c>
      <c r="E410">
        <v>3</v>
      </c>
    </row>
    <row r="411" customHeight="1" spans="1:5">
      <c r="A411" t="s">
        <v>21</v>
      </c>
      <c r="B411" t="s">
        <v>284</v>
      </c>
      <c r="C411" t="s">
        <v>297</v>
      </c>
      <c r="D411">
        <v>63177</v>
      </c>
      <c r="E411">
        <v>5</v>
      </c>
    </row>
    <row r="412" customHeight="1" spans="1:5">
      <c r="A412" t="s">
        <v>5</v>
      </c>
      <c r="B412" t="s">
        <v>107</v>
      </c>
      <c r="C412" t="s">
        <v>298</v>
      </c>
      <c r="D412">
        <v>32990</v>
      </c>
      <c r="E412">
        <v>9</v>
      </c>
    </row>
    <row r="413" customHeight="1" spans="1:5">
      <c r="A413" t="s">
        <v>48</v>
      </c>
      <c r="B413" t="s">
        <v>70</v>
      </c>
      <c r="C413" t="s">
        <v>299</v>
      </c>
      <c r="D413">
        <v>16634</v>
      </c>
      <c r="E413">
        <v>6</v>
      </c>
    </row>
    <row r="414" customHeight="1" spans="1:5">
      <c r="A414" t="s">
        <v>8</v>
      </c>
      <c r="B414" t="s">
        <v>92</v>
      </c>
      <c r="C414" t="s">
        <v>299</v>
      </c>
      <c r="D414">
        <v>62087</v>
      </c>
      <c r="E414">
        <v>5</v>
      </c>
    </row>
    <row r="415" customHeight="1" spans="1:5">
      <c r="A415" t="s">
        <v>5</v>
      </c>
      <c r="B415" t="s">
        <v>91</v>
      </c>
      <c r="C415" t="s">
        <v>299</v>
      </c>
      <c r="D415">
        <v>93478</v>
      </c>
      <c r="E415">
        <v>6</v>
      </c>
    </row>
    <row r="416" customHeight="1" spans="1:5">
      <c r="A416" t="s">
        <v>48</v>
      </c>
      <c r="B416" t="s">
        <v>160</v>
      </c>
      <c r="C416" t="s">
        <v>299</v>
      </c>
      <c r="D416">
        <v>92184</v>
      </c>
      <c r="E416">
        <v>7</v>
      </c>
    </row>
    <row r="417" customHeight="1" spans="1:5">
      <c r="A417" t="s">
        <v>12</v>
      </c>
      <c r="B417" t="s">
        <v>98</v>
      </c>
      <c r="C417" t="s">
        <v>300</v>
      </c>
      <c r="D417">
        <v>63905</v>
      </c>
      <c r="E417">
        <v>5</v>
      </c>
    </row>
    <row r="418" customHeight="1" spans="1:5">
      <c r="A418" t="s">
        <v>12</v>
      </c>
      <c r="B418" t="s">
        <v>92</v>
      </c>
      <c r="C418" t="s">
        <v>300</v>
      </c>
      <c r="D418">
        <v>21321</v>
      </c>
      <c r="E418">
        <v>9</v>
      </c>
    </row>
    <row r="419" customHeight="1" spans="1:5">
      <c r="A419" t="s">
        <v>17</v>
      </c>
      <c r="B419" t="s">
        <v>22</v>
      </c>
      <c r="C419" t="s">
        <v>301</v>
      </c>
      <c r="D419">
        <v>53140</v>
      </c>
      <c r="E419">
        <v>8</v>
      </c>
    </row>
    <row r="420" customHeight="1" spans="1:5">
      <c r="A420" t="s">
        <v>14</v>
      </c>
      <c r="B420" t="s">
        <v>264</v>
      </c>
      <c r="C420" t="s">
        <v>301</v>
      </c>
      <c r="D420">
        <v>50020</v>
      </c>
      <c r="E420">
        <v>10</v>
      </c>
    </row>
    <row r="421" customHeight="1" spans="1:5">
      <c r="A421" t="s">
        <v>48</v>
      </c>
      <c r="B421" t="s">
        <v>31</v>
      </c>
      <c r="C421" t="s">
        <v>302</v>
      </c>
      <c r="D421">
        <v>79048</v>
      </c>
      <c r="E421">
        <v>9</v>
      </c>
    </row>
    <row r="422" customHeight="1" spans="1:5">
      <c r="A422" t="s">
        <v>5</v>
      </c>
      <c r="B422" t="s">
        <v>273</v>
      </c>
      <c r="C422" t="s">
        <v>303</v>
      </c>
      <c r="D422">
        <v>92531</v>
      </c>
      <c r="E422">
        <v>6</v>
      </c>
    </row>
    <row r="423" customHeight="1" spans="1:5">
      <c r="A423" t="s">
        <v>19</v>
      </c>
      <c r="B423" t="s">
        <v>96</v>
      </c>
      <c r="C423" t="s">
        <v>303</v>
      </c>
      <c r="D423">
        <v>68430</v>
      </c>
      <c r="E423">
        <v>3</v>
      </c>
    </row>
    <row r="424" customHeight="1" spans="1:5">
      <c r="A424" t="s">
        <v>48</v>
      </c>
      <c r="B424" t="s">
        <v>20</v>
      </c>
      <c r="C424" t="s">
        <v>303</v>
      </c>
      <c r="D424">
        <v>17920</v>
      </c>
      <c r="E424">
        <v>8</v>
      </c>
    </row>
    <row r="425" customHeight="1" spans="1:5">
      <c r="A425" t="s">
        <v>35</v>
      </c>
      <c r="B425" t="s">
        <v>89</v>
      </c>
      <c r="C425" t="s">
        <v>303</v>
      </c>
      <c r="D425">
        <v>81858</v>
      </c>
      <c r="E425">
        <v>7</v>
      </c>
    </row>
    <row r="426" customHeight="1" spans="1:5">
      <c r="A426" t="s">
        <v>12</v>
      </c>
      <c r="B426" t="s">
        <v>304</v>
      </c>
      <c r="C426" t="s">
        <v>303</v>
      </c>
      <c r="D426">
        <v>73457</v>
      </c>
      <c r="E426">
        <v>7</v>
      </c>
    </row>
    <row r="427" customHeight="1" spans="1:5">
      <c r="A427" t="s">
        <v>30</v>
      </c>
      <c r="B427" t="s">
        <v>245</v>
      </c>
      <c r="C427" t="s">
        <v>305</v>
      </c>
      <c r="D427">
        <v>46833</v>
      </c>
      <c r="E427">
        <v>7</v>
      </c>
    </row>
    <row r="428" customHeight="1" spans="1:5">
      <c r="A428" t="s">
        <v>12</v>
      </c>
      <c r="B428" t="s">
        <v>22</v>
      </c>
      <c r="C428" t="s">
        <v>305</v>
      </c>
      <c r="D428">
        <v>12633</v>
      </c>
      <c r="E428">
        <v>2</v>
      </c>
    </row>
    <row r="429" customHeight="1" spans="1:5">
      <c r="A429" t="s">
        <v>5</v>
      </c>
      <c r="B429" t="s">
        <v>136</v>
      </c>
      <c r="C429" t="s">
        <v>305</v>
      </c>
      <c r="D429">
        <v>21189</v>
      </c>
      <c r="E429">
        <v>8</v>
      </c>
    </row>
    <row r="430" customHeight="1" spans="1:5">
      <c r="A430" t="s">
        <v>12</v>
      </c>
      <c r="B430" t="s">
        <v>258</v>
      </c>
      <c r="C430" t="s">
        <v>305</v>
      </c>
      <c r="D430">
        <v>31108</v>
      </c>
      <c r="E430">
        <v>8</v>
      </c>
    </row>
    <row r="431" customHeight="1" spans="1:5">
      <c r="A431" t="s">
        <v>5</v>
      </c>
      <c r="B431" t="s">
        <v>289</v>
      </c>
      <c r="C431" t="s">
        <v>305</v>
      </c>
      <c r="D431">
        <v>42536</v>
      </c>
      <c r="E431">
        <v>9</v>
      </c>
    </row>
    <row r="432" customHeight="1" spans="1:5">
      <c r="A432" t="s">
        <v>21</v>
      </c>
      <c r="B432" t="s">
        <v>287</v>
      </c>
      <c r="C432" t="s">
        <v>305</v>
      </c>
      <c r="D432">
        <v>73763</v>
      </c>
      <c r="E432">
        <v>9</v>
      </c>
    </row>
    <row r="433" customHeight="1" spans="1:5">
      <c r="A433" t="s">
        <v>35</v>
      </c>
      <c r="B433" t="s">
        <v>85</v>
      </c>
      <c r="C433" t="s">
        <v>305</v>
      </c>
      <c r="D433">
        <v>72951</v>
      </c>
      <c r="E433">
        <v>7</v>
      </c>
    </row>
    <row r="434" customHeight="1" spans="1:5">
      <c r="A434" t="s">
        <v>5</v>
      </c>
      <c r="B434" t="s">
        <v>258</v>
      </c>
      <c r="C434" t="s">
        <v>305</v>
      </c>
      <c r="D434">
        <v>98259</v>
      </c>
      <c r="E434">
        <v>2</v>
      </c>
    </row>
    <row r="435" customHeight="1" spans="1:5">
      <c r="A435" t="s">
        <v>33</v>
      </c>
      <c r="B435" t="s">
        <v>237</v>
      </c>
      <c r="C435" t="s">
        <v>305</v>
      </c>
      <c r="D435">
        <v>86055</v>
      </c>
      <c r="E435">
        <v>4</v>
      </c>
    </row>
    <row r="436" customHeight="1" spans="1:5">
      <c r="A436" t="s">
        <v>19</v>
      </c>
      <c r="B436" t="s">
        <v>54</v>
      </c>
      <c r="C436" t="s">
        <v>305</v>
      </c>
      <c r="D436">
        <v>95766</v>
      </c>
      <c r="E436">
        <v>6</v>
      </c>
    </row>
    <row r="437" customHeight="1" spans="1:5">
      <c r="A437" t="s">
        <v>35</v>
      </c>
      <c r="B437" t="s">
        <v>131</v>
      </c>
      <c r="C437" t="s">
        <v>305</v>
      </c>
      <c r="D437">
        <v>28042</v>
      </c>
      <c r="E437">
        <v>7</v>
      </c>
    </row>
    <row r="438" customHeight="1" spans="1:5">
      <c r="A438" t="s">
        <v>10</v>
      </c>
      <c r="B438" t="s">
        <v>168</v>
      </c>
      <c r="C438" t="s">
        <v>306</v>
      </c>
      <c r="D438">
        <v>73136</v>
      </c>
      <c r="E438">
        <v>8</v>
      </c>
    </row>
    <row r="439" customHeight="1" spans="1:5">
      <c r="A439" t="s">
        <v>21</v>
      </c>
      <c r="B439" t="s">
        <v>142</v>
      </c>
      <c r="C439" t="s">
        <v>306</v>
      </c>
      <c r="D439">
        <v>51956</v>
      </c>
      <c r="E439">
        <v>10</v>
      </c>
    </row>
    <row r="440" customHeight="1" spans="1:5">
      <c r="A440" t="s">
        <v>19</v>
      </c>
      <c r="B440" t="s">
        <v>307</v>
      </c>
      <c r="C440" t="s">
        <v>306</v>
      </c>
      <c r="D440">
        <v>73669</v>
      </c>
      <c r="E440">
        <v>9</v>
      </c>
    </row>
    <row r="441" customHeight="1" spans="1:5">
      <c r="A441" t="s">
        <v>21</v>
      </c>
      <c r="B441" t="s">
        <v>256</v>
      </c>
      <c r="C441" t="s">
        <v>308</v>
      </c>
      <c r="D441">
        <v>34931</v>
      </c>
      <c r="E441">
        <v>9</v>
      </c>
    </row>
    <row r="442" customHeight="1" spans="1:5">
      <c r="A442" t="s">
        <v>48</v>
      </c>
      <c r="B442" t="s">
        <v>64</v>
      </c>
      <c r="C442" t="s">
        <v>308</v>
      </c>
      <c r="D442">
        <v>55697</v>
      </c>
      <c r="E442">
        <v>3</v>
      </c>
    </row>
    <row r="443" customHeight="1" spans="1:5">
      <c r="A443" t="s">
        <v>8</v>
      </c>
      <c r="B443" t="s">
        <v>65</v>
      </c>
      <c r="C443" t="s">
        <v>308</v>
      </c>
      <c r="D443">
        <v>68572</v>
      </c>
      <c r="E443">
        <v>8</v>
      </c>
    </row>
    <row r="444" customHeight="1" spans="1:5">
      <c r="A444" t="s">
        <v>14</v>
      </c>
      <c r="B444" t="s">
        <v>274</v>
      </c>
      <c r="C444" t="s">
        <v>309</v>
      </c>
      <c r="D444">
        <v>65162</v>
      </c>
      <c r="E444">
        <v>8</v>
      </c>
    </row>
    <row r="445" customHeight="1" spans="1:5">
      <c r="A445" t="s">
        <v>17</v>
      </c>
      <c r="B445" t="s">
        <v>45</v>
      </c>
      <c r="C445" t="s">
        <v>310</v>
      </c>
      <c r="D445">
        <v>31974</v>
      </c>
      <c r="E445">
        <v>5</v>
      </c>
    </row>
    <row r="446" customHeight="1" spans="1:5">
      <c r="A446" t="s">
        <v>35</v>
      </c>
      <c r="B446" t="s">
        <v>92</v>
      </c>
      <c r="C446" t="s">
        <v>310</v>
      </c>
      <c r="D446">
        <v>67073</v>
      </c>
      <c r="E446">
        <v>9</v>
      </c>
    </row>
    <row r="447" customHeight="1" spans="1:5">
      <c r="A447" t="s">
        <v>30</v>
      </c>
      <c r="B447" t="s">
        <v>260</v>
      </c>
      <c r="C447" t="s">
        <v>311</v>
      </c>
      <c r="D447">
        <v>77843</v>
      </c>
      <c r="E447">
        <v>6</v>
      </c>
    </row>
    <row r="448" customHeight="1" spans="1:5">
      <c r="A448" t="s">
        <v>48</v>
      </c>
      <c r="B448" t="s">
        <v>129</v>
      </c>
      <c r="C448" t="s">
        <v>311</v>
      </c>
      <c r="D448">
        <v>66729</v>
      </c>
      <c r="E448">
        <v>9</v>
      </c>
    </row>
    <row r="449" customHeight="1" spans="1:5">
      <c r="A449" t="s">
        <v>30</v>
      </c>
      <c r="B449" t="s">
        <v>70</v>
      </c>
      <c r="C449" t="s">
        <v>311</v>
      </c>
      <c r="D449">
        <v>22619</v>
      </c>
      <c r="E449">
        <v>8</v>
      </c>
    </row>
    <row r="450" customHeight="1" spans="1:5">
      <c r="A450" t="s">
        <v>48</v>
      </c>
      <c r="B450" t="s">
        <v>216</v>
      </c>
      <c r="C450" t="s">
        <v>311</v>
      </c>
      <c r="D450">
        <v>35355</v>
      </c>
      <c r="E450">
        <v>9</v>
      </c>
    </row>
    <row r="451" customHeight="1" spans="1:5">
      <c r="A451" t="s">
        <v>48</v>
      </c>
      <c r="B451" t="s">
        <v>213</v>
      </c>
      <c r="C451" t="s">
        <v>311</v>
      </c>
      <c r="D451">
        <v>23189</v>
      </c>
      <c r="E451">
        <v>7</v>
      </c>
    </row>
    <row r="452" customHeight="1" spans="1:5">
      <c r="A452" t="s">
        <v>10</v>
      </c>
      <c r="B452" t="s">
        <v>104</v>
      </c>
      <c r="C452" t="s">
        <v>311</v>
      </c>
      <c r="D452">
        <v>40730</v>
      </c>
      <c r="E452">
        <v>6</v>
      </c>
    </row>
    <row r="453" customHeight="1" spans="1:5">
      <c r="A453" t="s">
        <v>30</v>
      </c>
      <c r="B453" t="s">
        <v>205</v>
      </c>
      <c r="C453" t="s">
        <v>311</v>
      </c>
      <c r="D453">
        <v>76692</v>
      </c>
      <c r="E453">
        <v>5</v>
      </c>
    </row>
    <row r="454" customHeight="1" spans="1:5">
      <c r="A454" t="s">
        <v>10</v>
      </c>
      <c r="B454" t="s">
        <v>228</v>
      </c>
      <c r="C454" t="s">
        <v>311</v>
      </c>
      <c r="D454">
        <v>43278</v>
      </c>
      <c r="E454">
        <v>6</v>
      </c>
    </row>
    <row r="455" customHeight="1" spans="1:5">
      <c r="A455" t="s">
        <v>8</v>
      </c>
      <c r="B455" t="s">
        <v>144</v>
      </c>
      <c r="C455" t="s">
        <v>311</v>
      </c>
      <c r="D455">
        <v>59024</v>
      </c>
      <c r="E455">
        <v>7</v>
      </c>
    </row>
    <row r="456" customHeight="1" spans="1:5">
      <c r="A456" t="s">
        <v>14</v>
      </c>
      <c r="B456" t="s">
        <v>49</v>
      </c>
      <c r="C456" t="s">
        <v>311</v>
      </c>
      <c r="D456">
        <v>68610</v>
      </c>
      <c r="E456">
        <v>10</v>
      </c>
    </row>
    <row r="457" customHeight="1" spans="1:5">
      <c r="A457" t="s">
        <v>19</v>
      </c>
      <c r="B457" t="s">
        <v>232</v>
      </c>
      <c r="C457" t="s">
        <v>311</v>
      </c>
      <c r="D457">
        <v>55060</v>
      </c>
      <c r="E457">
        <v>1</v>
      </c>
    </row>
    <row r="458" customHeight="1" spans="1:5">
      <c r="A458" t="s">
        <v>35</v>
      </c>
      <c r="B458" t="s">
        <v>162</v>
      </c>
      <c r="C458" t="s">
        <v>312</v>
      </c>
      <c r="D458">
        <v>97559</v>
      </c>
      <c r="E458">
        <v>6</v>
      </c>
    </row>
    <row r="459" customHeight="1" spans="1:5">
      <c r="A459" t="s">
        <v>35</v>
      </c>
      <c r="B459" t="s">
        <v>241</v>
      </c>
      <c r="C459" t="s">
        <v>313</v>
      </c>
      <c r="D459">
        <v>37576</v>
      </c>
      <c r="E459">
        <v>10</v>
      </c>
    </row>
    <row r="460" customHeight="1" spans="1:5">
      <c r="A460" t="s">
        <v>33</v>
      </c>
      <c r="B460" t="s">
        <v>184</v>
      </c>
      <c r="C460" t="s">
        <v>313</v>
      </c>
      <c r="D460">
        <v>64917</v>
      </c>
      <c r="E460">
        <v>5</v>
      </c>
    </row>
    <row r="461" customHeight="1" spans="1:5">
      <c r="A461" t="s">
        <v>21</v>
      </c>
      <c r="B461" t="s">
        <v>23</v>
      </c>
      <c r="C461" t="s">
        <v>313</v>
      </c>
      <c r="D461">
        <v>92218</v>
      </c>
      <c r="E461">
        <v>9</v>
      </c>
    </row>
    <row r="462" customHeight="1" spans="1:5">
      <c r="A462" t="s">
        <v>21</v>
      </c>
      <c r="B462" t="s">
        <v>202</v>
      </c>
      <c r="C462" t="s">
        <v>313</v>
      </c>
      <c r="D462">
        <v>78769</v>
      </c>
      <c r="E462">
        <v>7</v>
      </c>
    </row>
    <row r="463" customHeight="1" spans="1:5">
      <c r="A463" t="s">
        <v>12</v>
      </c>
      <c r="B463" t="s">
        <v>58</v>
      </c>
      <c r="C463" t="s">
        <v>313</v>
      </c>
      <c r="D463">
        <v>47698</v>
      </c>
      <c r="E463">
        <v>8</v>
      </c>
    </row>
    <row r="464" customHeight="1" spans="1:5">
      <c r="A464" t="s">
        <v>19</v>
      </c>
      <c r="B464" t="s">
        <v>119</v>
      </c>
      <c r="C464" t="s">
        <v>313</v>
      </c>
      <c r="D464">
        <v>58361</v>
      </c>
      <c r="E464">
        <v>7</v>
      </c>
    </row>
    <row r="465" customHeight="1" spans="1:5">
      <c r="A465" t="s">
        <v>10</v>
      </c>
      <c r="B465" t="s">
        <v>9</v>
      </c>
      <c r="C465" t="s">
        <v>314</v>
      </c>
      <c r="D465">
        <v>70143</v>
      </c>
      <c r="E465">
        <v>1</v>
      </c>
    </row>
    <row r="466" customHeight="1" spans="1:5">
      <c r="A466" t="s">
        <v>48</v>
      </c>
      <c r="B466" t="s">
        <v>164</v>
      </c>
      <c r="C466" t="s">
        <v>315</v>
      </c>
      <c r="D466">
        <v>52468</v>
      </c>
      <c r="E466">
        <v>0</v>
      </c>
    </row>
    <row r="467" customHeight="1" spans="1:5">
      <c r="A467" t="s">
        <v>21</v>
      </c>
      <c r="B467" t="s">
        <v>61</v>
      </c>
      <c r="C467" t="s">
        <v>316</v>
      </c>
      <c r="D467">
        <v>57337</v>
      </c>
      <c r="E467">
        <v>10</v>
      </c>
    </row>
    <row r="468" customHeight="1" spans="1:5">
      <c r="A468" t="s">
        <v>30</v>
      </c>
      <c r="B468" t="s">
        <v>317</v>
      </c>
      <c r="C468" t="s">
        <v>316</v>
      </c>
      <c r="D468">
        <v>57127</v>
      </c>
      <c r="E468">
        <v>5</v>
      </c>
    </row>
    <row r="469" customHeight="1" spans="1:5">
      <c r="A469" t="s">
        <v>21</v>
      </c>
      <c r="B469" t="s">
        <v>119</v>
      </c>
      <c r="C469" t="s">
        <v>316</v>
      </c>
      <c r="D469">
        <v>83673</v>
      </c>
      <c r="E469">
        <v>9</v>
      </c>
    </row>
    <row r="470" customHeight="1" spans="1:5">
      <c r="A470" t="s">
        <v>33</v>
      </c>
      <c r="B470" t="s">
        <v>161</v>
      </c>
      <c r="C470" t="s">
        <v>316</v>
      </c>
      <c r="D470">
        <v>22313</v>
      </c>
      <c r="E470">
        <v>9</v>
      </c>
    </row>
    <row r="471" customHeight="1" spans="1:5">
      <c r="A471" t="s">
        <v>8</v>
      </c>
      <c r="B471" t="s">
        <v>216</v>
      </c>
      <c r="C471" t="s">
        <v>316</v>
      </c>
      <c r="D471">
        <v>49351</v>
      </c>
      <c r="E471">
        <v>7</v>
      </c>
    </row>
    <row r="472" customHeight="1" spans="1:5">
      <c r="A472" t="s">
        <v>48</v>
      </c>
      <c r="B472" t="s">
        <v>13</v>
      </c>
      <c r="C472" t="s">
        <v>318</v>
      </c>
      <c r="D472">
        <v>11604</v>
      </c>
      <c r="E472">
        <v>7</v>
      </c>
    </row>
    <row r="473" customHeight="1" spans="1:5">
      <c r="A473" t="s">
        <v>14</v>
      </c>
      <c r="B473" t="s">
        <v>56</v>
      </c>
      <c r="C473" t="s">
        <v>318</v>
      </c>
      <c r="D473">
        <v>81276</v>
      </c>
      <c r="E473">
        <v>3</v>
      </c>
    </row>
    <row r="474" customHeight="1" spans="1:5">
      <c r="A474" t="s">
        <v>19</v>
      </c>
      <c r="B474" t="s">
        <v>181</v>
      </c>
      <c r="C474" t="s">
        <v>319</v>
      </c>
      <c r="D474">
        <v>30350</v>
      </c>
      <c r="E474">
        <v>7</v>
      </c>
    </row>
    <row r="475" customHeight="1" spans="1:5">
      <c r="A475" t="s">
        <v>21</v>
      </c>
      <c r="B475" t="s">
        <v>195</v>
      </c>
      <c r="C475" t="s">
        <v>319</v>
      </c>
      <c r="D475">
        <v>80052</v>
      </c>
      <c r="E475">
        <v>7</v>
      </c>
    </row>
    <row r="476" customHeight="1" spans="1:5">
      <c r="A476" t="s">
        <v>17</v>
      </c>
      <c r="B476" t="s">
        <v>107</v>
      </c>
      <c r="C476" t="s">
        <v>319</v>
      </c>
      <c r="D476">
        <v>28175</v>
      </c>
      <c r="E476">
        <v>4</v>
      </c>
    </row>
    <row r="477" customHeight="1" spans="1:5">
      <c r="A477" t="s">
        <v>48</v>
      </c>
      <c r="B477" t="s">
        <v>94</v>
      </c>
      <c r="C477" t="s">
        <v>319</v>
      </c>
      <c r="D477">
        <v>89314</v>
      </c>
      <c r="E477">
        <v>9</v>
      </c>
    </row>
    <row r="478" customHeight="1" spans="1:5">
      <c r="A478" t="s">
        <v>35</v>
      </c>
      <c r="B478" t="s">
        <v>261</v>
      </c>
      <c r="C478" t="s">
        <v>319</v>
      </c>
      <c r="D478">
        <v>57886</v>
      </c>
      <c r="E478">
        <v>8</v>
      </c>
    </row>
    <row r="479" customHeight="1" spans="1:5">
      <c r="A479" t="s">
        <v>19</v>
      </c>
      <c r="B479" t="s">
        <v>168</v>
      </c>
      <c r="C479" t="s">
        <v>319</v>
      </c>
      <c r="D479">
        <v>37370</v>
      </c>
      <c r="E479">
        <v>10</v>
      </c>
    </row>
    <row r="480" customHeight="1" spans="1:5">
      <c r="A480" t="s">
        <v>35</v>
      </c>
      <c r="B480" t="s">
        <v>109</v>
      </c>
      <c r="C480" t="s">
        <v>320</v>
      </c>
      <c r="D480">
        <v>25787</v>
      </c>
      <c r="E480">
        <v>0</v>
      </c>
    </row>
    <row r="481" customHeight="1" spans="1:5">
      <c r="A481" t="s">
        <v>14</v>
      </c>
      <c r="B481" t="s">
        <v>269</v>
      </c>
      <c r="C481" t="s">
        <v>321</v>
      </c>
      <c r="D481">
        <v>70544</v>
      </c>
      <c r="E481">
        <v>7</v>
      </c>
    </row>
    <row r="482" customHeight="1" spans="1:5">
      <c r="A482" t="s">
        <v>8</v>
      </c>
      <c r="B482" t="s">
        <v>322</v>
      </c>
      <c r="C482" t="s">
        <v>321</v>
      </c>
      <c r="D482">
        <v>27462</v>
      </c>
      <c r="E482">
        <v>9</v>
      </c>
    </row>
    <row r="483" customHeight="1" spans="1:5">
      <c r="A483" t="s">
        <v>10</v>
      </c>
      <c r="B483" t="s">
        <v>180</v>
      </c>
      <c r="C483" t="s">
        <v>321</v>
      </c>
      <c r="D483">
        <v>55611</v>
      </c>
      <c r="E483">
        <v>5</v>
      </c>
    </row>
    <row r="484" customHeight="1" spans="1:5">
      <c r="A484" t="s">
        <v>5</v>
      </c>
      <c r="B484" t="s">
        <v>129</v>
      </c>
      <c r="C484" t="s">
        <v>323</v>
      </c>
      <c r="D484">
        <v>96793</v>
      </c>
      <c r="E484">
        <v>3</v>
      </c>
    </row>
    <row r="485" customHeight="1" spans="1:5">
      <c r="A485" t="s">
        <v>35</v>
      </c>
      <c r="B485" t="s">
        <v>43</v>
      </c>
      <c r="C485" t="s">
        <v>323</v>
      </c>
      <c r="D485">
        <v>72799</v>
      </c>
      <c r="E485">
        <v>7</v>
      </c>
    </row>
    <row r="486" customHeight="1" spans="1:5">
      <c r="A486" t="s">
        <v>5</v>
      </c>
      <c r="B486" t="s">
        <v>225</v>
      </c>
      <c r="C486" t="s">
        <v>323</v>
      </c>
      <c r="D486">
        <v>86518</v>
      </c>
      <c r="E486">
        <v>3</v>
      </c>
    </row>
    <row r="487" customHeight="1" spans="1:5">
      <c r="A487" t="s">
        <v>17</v>
      </c>
      <c r="B487" t="s">
        <v>204</v>
      </c>
      <c r="C487" t="s">
        <v>323</v>
      </c>
      <c r="D487">
        <v>79314</v>
      </c>
      <c r="E487">
        <v>3</v>
      </c>
    </row>
    <row r="488" customHeight="1" spans="1:5">
      <c r="A488" t="s">
        <v>48</v>
      </c>
      <c r="B488" t="s">
        <v>103</v>
      </c>
      <c r="C488" t="s">
        <v>323</v>
      </c>
      <c r="D488">
        <v>77684</v>
      </c>
      <c r="E488">
        <v>7</v>
      </c>
    </row>
    <row r="489" customHeight="1" spans="1:5">
      <c r="A489" t="s">
        <v>10</v>
      </c>
      <c r="B489" t="s">
        <v>117</v>
      </c>
      <c r="C489" t="s">
        <v>323</v>
      </c>
      <c r="D489">
        <v>83449</v>
      </c>
      <c r="E489">
        <v>6</v>
      </c>
    </row>
    <row r="490" customHeight="1" spans="1:5">
      <c r="A490" t="s">
        <v>21</v>
      </c>
      <c r="B490" t="s">
        <v>250</v>
      </c>
      <c r="C490" t="s">
        <v>324</v>
      </c>
      <c r="D490">
        <v>28999</v>
      </c>
      <c r="E490">
        <v>8</v>
      </c>
    </row>
    <row r="491" customHeight="1" spans="1:5">
      <c r="A491" t="s">
        <v>35</v>
      </c>
      <c r="B491" t="s">
        <v>292</v>
      </c>
      <c r="C491" t="s">
        <v>324</v>
      </c>
      <c r="D491">
        <v>91585</v>
      </c>
      <c r="E491">
        <v>8</v>
      </c>
    </row>
    <row r="492" customHeight="1" spans="1:5">
      <c r="A492" t="s">
        <v>8</v>
      </c>
      <c r="B492" t="s">
        <v>18</v>
      </c>
      <c r="C492" t="s">
        <v>325</v>
      </c>
      <c r="D492">
        <v>45801</v>
      </c>
      <c r="E492">
        <v>8</v>
      </c>
    </row>
    <row r="493" customHeight="1" spans="1:5">
      <c r="A493" t="s">
        <v>21</v>
      </c>
      <c r="B493" t="s">
        <v>13</v>
      </c>
      <c r="C493" t="s">
        <v>325</v>
      </c>
      <c r="D493">
        <v>59620</v>
      </c>
      <c r="E493">
        <v>8</v>
      </c>
    </row>
    <row r="494" customHeight="1" spans="1:5">
      <c r="A494" t="s">
        <v>21</v>
      </c>
      <c r="B494" t="s">
        <v>56</v>
      </c>
      <c r="C494" t="s">
        <v>325</v>
      </c>
      <c r="D494">
        <v>68926</v>
      </c>
      <c r="E494">
        <v>7</v>
      </c>
    </row>
    <row r="495" customHeight="1" spans="1:5">
      <c r="A495" t="s">
        <v>12</v>
      </c>
      <c r="B495" t="s">
        <v>265</v>
      </c>
      <c r="C495" t="s">
        <v>326</v>
      </c>
      <c r="D495">
        <v>87665</v>
      </c>
      <c r="E495">
        <v>3</v>
      </c>
    </row>
    <row r="496" customHeight="1" spans="1:5">
      <c r="A496" t="s">
        <v>17</v>
      </c>
      <c r="B496" t="s">
        <v>131</v>
      </c>
      <c r="C496" t="s">
        <v>326</v>
      </c>
      <c r="D496">
        <v>46423</v>
      </c>
      <c r="E496">
        <v>9</v>
      </c>
    </row>
    <row r="497" customHeight="1" spans="1:5">
      <c r="A497" t="s">
        <v>17</v>
      </c>
      <c r="B497" t="s">
        <v>218</v>
      </c>
      <c r="C497" t="s">
        <v>326</v>
      </c>
      <c r="D497">
        <v>88851</v>
      </c>
      <c r="E497">
        <v>7</v>
      </c>
    </row>
    <row r="498" customHeight="1" spans="1:5">
      <c r="A498" t="s">
        <v>33</v>
      </c>
      <c r="B498" t="s">
        <v>195</v>
      </c>
      <c r="C498" t="s">
        <v>327</v>
      </c>
      <c r="D498">
        <v>99996</v>
      </c>
      <c r="E498">
        <v>7</v>
      </c>
    </row>
    <row r="499" customHeight="1" spans="1:5">
      <c r="A499" t="s">
        <v>33</v>
      </c>
      <c r="B499" t="s">
        <v>130</v>
      </c>
      <c r="C499" t="s">
        <v>327</v>
      </c>
      <c r="D499">
        <v>64873</v>
      </c>
      <c r="E499">
        <v>9</v>
      </c>
    </row>
    <row r="500" customHeight="1" spans="1:5">
      <c r="A500" t="s">
        <v>8</v>
      </c>
      <c r="B500" t="s">
        <v>104</v>
      </c>
      <c r="C500" t="s">
        <v>327</v>
      </c>
      <c r="D500">
        <v>80771</v>
      </c>
      <c r="E500">
        <v>6</v>
      </c>
    </row>
    <row r="501" customHeight="1" spans="1:5">
      <c r="A501" t="s">
        <v>14</v>
      </c>
      <c r="B501" t="s">
        <v>328</v>
      </c>
      <c r="C501" t="s">
        <v>327</v>
      </c>
      <c r="D501">
        <v>80642</v>
      </c>
      <c r="E501">
        <v>8</v>
      </c>
    </row>
    <row r="502" customHeight="1" spans="1:5">
      <c r="A502" t="s">
        <v>14</v>
      </c>
      <c r="B502" t="s">
        <v>9</v>
      </c>
      <c r="C502" t="s">
        <v>327</v>
      </c>
      <c r="D502">
        <v>33102</v>
      </c>
      <c r="E502">
        <v>6</v>
      </c>
    </row>
    <row r="503" customHeight="1" spans="1:5">
      <c r="A503" t="s">
        <v>48</v>
      </c>
      <c r="B503" t="s">
        <v>85</v>
      </c>
      <c r="C503" t="s">
        <v>327</v>
      </c>
      <c r="D503">
        <v>11029</v>
      </c>
      <c r="E503">
        <v>5</v>
      </c>
    </row>
    <row r="504" customHeight="1" spans="1:5">
      <c r="A504" t="s">
        <v>5</v>
      </c>
      <c r="B504" t="s">
        <v>226</v>
      </c>
      <c r="C504" t="s">
        <v>329</v>
      </c>
      <c r="D504">
        <v>42723</v>
      </c>
      <c r="E504">
        <v>7</v>
      </c>
    </row>
    <row r="505" customHeight="1" spans="1:5">
      <c r="A505" t="s">
        <v>35</v>
      </c>
      <c r="B505" t="s">
        <v>146</v>
      </c>
      <c r="C505" t="s">
        <v>329</v>
      </c>
      <c r="D505">
        <v>87153</v>
      </c>
      <c r="E505">
        <v>6</v>
      </c>
    </row>
    <row r="506" customHeight="1" spans="1:5">
      <c r="A506" t="s">
        <v>5</v>
      </c>
      <c r="B506" t="s">
        <v>330</v>
      </c>
      <c r="C506" t="s">
        <v>329</v>
      </c>
      <c r="D506">
        <v>97848</v>
      </c>
      <c r="E506">
        <v>6</v>
      </c>
    </row>
    <row r="507" customHeight="1" spans="1:5">
      <c r="A507" t="s">
        <v>19</v>
      </c>
      <c r="B507" t="s">
        <v>292</v>
      </c>
      <c r="C507" t="s">
        <v>329</v>
      </c>
      <c r="D507">
        <v>67782</v>
      </c>
      <c r="E507">
        <v>4</v>
      </c>
    </row>
    <row r="508" customHeight="1" spans="1:5">
      <c r="A508" t="s">
        <v>5</v>
      </c>
      <c r="B508" t="s">
        <v>63</v>
      </c>
      <c r="C508" t="s">
        <v>329</v>
      </c>
      <c r="D508">
        <v>54828</v>
      </c>
      <c r="E508">
        <v>7</v>
      </c>
    </row>
    <row r="509" customHeight="1" spans="1:5">
      <c r="A509" t="s">
        <v>48</v>
      </c>
      <c r="B509" t="s">
        <v>54</v>
      </c>
      <c r="C509" t="s">
        <v>331</v>
      </c>
      <c r="D509">
        <v>93867</v>
      </c>
      <c r="E509">
        <v>7</v>
      </c>
    </row>
    <row r="510" customHeight="1" spans="1:5">
      <c r="A510" t="s">
        <v>10</v>
      </c>
      <c r="B510" t="s">
        <v>289</v>
      </c>
      <c r="C510" t="s">
        <v>331</v>
      </c>
      <c r="D510">
        <v>26664</v>
      </c>
      <c r="E510">
        <v>9</v>
      </c>
    </row>
    <row r="511" customHeight="1" spans="1:5">
      <c r="A511" t="s">
        <v>19</v>
      </c>
      <c r="B511" t="s">
        <v>332</v>
      </c>
      <c r="C511" t="s">
        <v>333</v>
      </c>
      <c r="D511">
        <v>80762</v>
      </c>
      <c r="E511">
        <v>7</v>
      </c>
    </row>
    <row r="512" customHeight="1" spans="1:5">
      <c r="A512" t="s">
        <v>30</v>
      </c>
      <c r="B512" t="s">
        <v>296</v>
      </c>
      <c r="C512" t="s">
        <v>334</v>
      </c>
      <c r="D512">
        <v>60460</v>
      </c>
      <c r="E512">
        <v>2</v>
      </c>
    </row>
    <row r="513" customHeight="1" spans="1:5">
      <c r="A513" t="s">
        <v>10</v>
      </c>
      <c r="B513" t="s">
        <v>133</v>
      </c>
      <c r="C513" t="s">
        <v>334</v>
      </c>
      <c r="D513">
        <v>33392</v>
      </c>
      <c r="E513">
        <v>2</v>
      </c>
    </row>
    <row r="514" customHeight="1" spans="1:5">
      <c r="A514" t="s">
        <v>33</v>
      </c>
      <c r="B514" t="s">
        <v>249</v>
      </c>
      <c r="C514" t="s">
        <v>334</v>
      </c>
      <c r="D514">
        <v>23457</v>
      </c>
      <c r="E514">
        <v>4</v>
      </c>
    </row>
    <row r="515" customHeight="1" spans="1:5">
      <c r="A515" t="s">
        <v>8</v>
      </c>
      <c r="B515" t="s">
        <v>129</v>
      </c>
      <c r="C515" t="s">
        <v>335</v>
      </c>
      <c r="D515">
        <v>50612</v>
      </c>
      <c r="E515">
        <v>8</v>
      </c>
    </row>
    <row r="516" customHeight="1" spans="1:5">
      <c r="A516" t="s">
        <v>5</v>
      </c>
      <c r="B516" t="s">
        <v>129</v>
      </c>
      <c r="C516" t="s">
        <v>335</v>
      </c>
      <c r="D516">
        <v>66652</v>
      </c>
      <c r="E516">
        <v>6</v>
      </c>
    </row>
    <row r="517" customHeight="1" spans="1:5">
      <c r="A517" t="s">
        <v>21</v>
      </c>
      <c r="B517" t="s">
        <v>258</v>
      </c>
      <c r="C517" t="s">
        <v>335</v>
      </c>
      <c r="D517">
        <v>16341</v>
      </c>
      <c r="E517">
        <v>4</v>
      </c>
    </row>
    <row r="518" customHeight="1" spans="1:5">
      <c r="A518" t="s">
        <v>21</v>
      </c>
      <c r="B518" t="s">
        <v>54</v>
      </c>
      <c r="C518" t="s">
        <v>335</v>
      </c>
      <c r="D518">
        <v>23432</v>
      </c>
      <c r="E518">
        <v>7</v>
      </c>
    </row>
    <row r="519" customHeight="1" spans="1:5">
      <c r="A519" t="s">
        <v>17</v>
      </c>
      <c r="B519" t="s">
        <v>304</v>
      </c>
      <c r="C519" t="s">
        <v>335</v>
      </c>
      <c r="D519">
        <v>38723</v>
      </c>
      <c r="E519">
        <v>3</v>
      </c>
    </row>
    <row r="520" customHeight="1" spans="1:5">
      <c r="A520" t="s">
        <v>19</v>
      </c>
      <c r="B520" t="s">
        <v>131</v>
      </c>
      <c r="C520" t="s">
        <v>335</v>
      </c>
      <c r="D520">
        <v>17558</v>
      </c>
      <c r="E520">
        <v>5</v>
      </c>
    </row>
    <row r="521" customHeight="1" spans="1:5">
      <c r="A521" t="s">
        <v>10</v>
      </c>
      <c r="B521" t="s">
        <v>184</v>
      </c>
      <c r="C521" t="s">
        <v>335</v>
      </c>
      <c r="D521">
        <v>93044</v>
      </c>
      <c r="E521">
        <v>2</v>
      </c>
    </row>
    <row r="522" customHeight="1" spans="1:5">
      <c r="A522" t="s">
        <v>10</v>
      </c>
      <c r="B522" t="s">
        <v>267</v>
      </c>
      <c r="C522" t="s">
        <v>335</v>
      </c>
      <c r="D522">
        <v>61680</v>
      </c>
      <c r="E522">
        <v>2</v>
      </c>
    </row>
    <row r="523" customHeight="1" spans="1:5">
      <c r="A523" t="s">
        <v>48</v>
      </c>
      <c r="B523" t="s">
        <v>140</v>
      </c>
      <c r="C523" t="s">
        <v>335</v>
      </c>
      <c r="D523">
        <v>20273</v>
      </c>
      <c r="E523">
        <v>2</v>
      </c>
    </row>
    <row r="524" customHeight="1" spans="1:5">
      <c r="A524" t="s">
        <v>19</v>
      </c>
      <c r="B524" t="s">
        <v>44</v>
      </c>
      <c r="C524" t="s">
        <v>335</v>
      </c>
      <c r="D524">
        <v>93490</v>
      </c>
      <c r="E524">
        <v>7</v>
      </c>
    </row>
    <row r="525" customHeight="1" spans="1:5">
      <c r="A525" t="s">
        <v>12</v>
      </c>
      <c r="B525" t="s">
        <v>146</v>
      </c>
      <c r="C525" t="s">
        <v>336</v>
      </c>
      <c r="D525">
        <v>53304</v>
      </c>
      <c r="E525">
        <v>9</v>
      </c>
    </row>
    <row r="526" customHeight="1" spans="1:5">
      <c r="A526" t="s">
        <v>19</v>
      </c>
      <c r="B526" t="s">
        <v>263</v>
      </c>
      <c r="C526" t="s">
        <v>336</v>
      </c>
      <c r="D526">
        <v>80777</v>
      </c>
      <c r="E526">
        <v>9</v>
      </c>
    </row>
    <row r="527" customHeight="1" spans="1:5">
      <c r="A527" t="s">
        <v>5</v>
      </c>
      <c r="B527" t="s">
        <v>86</v>
      </c>
      <c r="C527" t="s">
        <v>337</v>
      </c>
      <c r="D527">
        <v>29056</v>
      </c>
      <c r="E527">
        <v>6</v>
      </c>
    </row>
    <row r="528" customHeight="1" spans="1:5">
      <c r="A528" t="s">
        <v>12</v>
      </c>
      <c r="B528" t="s">
        <v>289</v>
      </c>
      <c r="C528" t="s">
        <v>337</v>
      </c>
      <c r="D528">
        <v>42065</v>
      </c>
      <c r="E528">
        <v>5</v>
      </c>
    </row>
    <row r="529" customHeight="1" spans="1:5">
      <c r="A529" t="s">
        <v>8</v>
      </c>
      <c r="B529" t="s">
        <v>285</v>
      </c>
      <c r="C529" t="s">
        <v>338</v>
      </c>
      <c r="D529">
        <v>38932</v>
      </c>
      <c r="E529">
        <v>0</v>
      </c>
    </row>
    <row r="530" customHeight="1" spans="1:5">
      <c r="A530" t="s">
        <v>12</v>
      </c>
      <c r="B530" t="s">
        <v>81</v>
      </c>
      <c r="C530" t="s">
        <v>338</v>
      </c>
      <c r="D530">
        <v>45880</v>
      </c>
      <c r="E530">
        <v>9</v>
      </c>
    </row>
    <row r="531" customHeight="1" spans="1:5">
      <c r="A531" t="s">
        <v>21</v>
      </c>
      <c r="B531" t="s">
        <v>160</v>
      </c>
      <c r="C531" t="s">
        <v>338</v>
      </c>
      <c r="D531">
        <v>79749</v>
      </c>
      <c r="E531">
        <v>2</v>
      </c>
    </row>
    <row r="532" customHeight="1" spans="1:5">
      <c r="A532" t="s">
        <v>21</v>
      </c>
      <c r="B532" t="s">
        <v>94</v>
      </c>
      <c r="C532" t="s">
        <v>338</v>
      </c>
      <c r="D532">
        <v>24480</v>
      </c>
      <c r="E532">
        <v>7</v>
      </c>
    </row>
    <row r="533" customHeight="1" spans="1:5">
      <c r="A533" t="s">
        <v>10</v>
      </c>
      <c r="B533" t="s">
        <v>46</v>
      </c>
      <c r="C533" t="s">
        <v>339</v>
      </c>
      <c r="D533">
        <v>43157</v>
      </c>
      <c r="E533">
        <v>5</v>
      </c>
    </row>
    <row r="534" customHeight="1" spans="1:5">
      <c r="A534" t="s">
        <v>14</v>
      </c>
      <c r="B534" t="s">
        <v>340</v>
      </c>
      <c r="C534" t="s">
        <v>339</v>
      </c>
      <c r="D534">
        <v>49228</v>
      </c>
      <c r="E534">
        <v>4</v>
      </c>
    </row>
    <row r="535" customHeight="1" spans="1:5">
      <c r="A535" t="s">
        <v>48</v>
      </c>
      <c r="B535" t="s">
        <v>341</v>
      </c>
      <c r="C535" t="s">
        <v>339</v>
      </c>
      <c r="D535">
        <v>49029</v>
      </c>
      <c r="E535">
        <v>7</v>
      </c>
    </row>
    <row r="536" customHeight="1" spans="1:5">
      <c r="A536" t="s">
        <v>5</v>
      </c>
      <c r="B536" t="s">
        <v>129</v>
      </c>
      <c r="C536" t="s">
        <v>339</v>
      </c>
      <c r="D536">
        <v>81526</v>
      </c>
      <c r="E536">
        <v>10</v>
      </c>
    </row>
    <row r="537" customHeight="1" spans="1:5">
      <c r="A537" t="s">
        <v>30</v>
      </c>
      <c r="B537" t="s">
        <v>285</v>
      </c>
      <c r="C537" t="s">
        <v>342</v>
      </c>
      <c r="D537">
        <v>19266</v>
      </c>
      <c r="E537">
        <v>10</v>
      </c>
    </row>
    <row r="538" customHeight="1" spans="1:5">
      <c r="A538" t="s">
        <v>17</v>
      </c>
      <c r="B538" t="s">
        <v>189</v>
      </c>
      <c r="C538" t="s">
        <v>342</v>
      </c>
      <c r="D538">
        <v>39513</v>
      </c>
      <c r="E538">
        <v>5</v>
      </c>
    </row>
    <row r="539" customHeight="1" spans="1:5">
      <c r="A539" t="s">
        <v>30</v>
      </c>
      <c r="B539" t="s">
        <v>289</v>
      </c>
      <c r="C539" t="s">
        <v>342</v>
      </c>
      <c r="D539">
        <v>92654</v>
      </c>
      <c r="E539">
        <v>4</v>
      </c>
    </row>
    <row r="540" customHeight="1" spans="1:5">
      <c r="A540" t="s">
        <v>10</v>
      </c>
      <c r="B540" t="s">
        <v>250</v>
      </c>
      <c r="C540" t="s">
        <v>342</v>
      </c>
      <c r="D540">
        <v>81894</v>
      </c>
      <c r="E540">
        <v>5</v>
      </c>
    </row>
    <row r="541" customHeight="1" spans="1:5">
      <c r="A541" t="s">
        <v>12</v>
      </c>
      <c r="B541" t="s">
        <v>114</v>
      </c>
      <c r="C541" t="s">
        <v>342</v>
      </c>
      <c r="D541">
        <v>31254</v>
      </c>
      <c r="E541">
        <v>9</v>
      </c>
    </row>
    <row r="542" customHeight="1" spans="1:5">
      <c r="A542" t="s">
        <v>14</v>
      </c>
      <c r="B542" t="s">
        <v>171</v>
      </c>
      <c r="C542" t="s">
        <v>342</v>
      </c>
      <c r="D542">
        <v>32650</v>
      </c>
      <c r="E542">
        <v>8</v>
      </c>
    </row>
    <row r="543" customHeight="1" spans="1:5">
      <c r="A543" t="s">
        <v>5</v>
      </c>
      <c r="B543" t="s">
        <v>64</v>
      </c>
      <c r="C543" t="s">
        <v>342</v>
      </c>
      <c r="D543">
        <v>43315</v>
      </c>
      <c r="E543">
        <v>0</v>
      </c>
    </row>
    <row r="544" customHeight="1" spans="1:5">
      <c r="A544" t="s">
        <v>12</v>
      </c>
      <c r="B544" t="s">
        <v>43</v>
      </c>
      <c r="C544" t="s">
        <v>342</v>
      </c>
      <c r="D544">
        <v>95163</v>
      </c>
      <c r="E544">
        <v>6</v>
      </c>
    </row>
    <row r="545" customHeight="1" spans="1:5">
      <c r="A545" t="s">
        <v>14</v>
      </c>
      <c r="B545" t="s">
        <v>37</v>
      </c>
      <c r="C545" t="s">
        <v>343</v>
      </c>
      <c r="D545">
        <v>29812</v>
      </c>
      <c r="E545">
        <v>9</v>
      </c>
    </row>
    <row r="546" customHeight="1" spans="1:5">
      <c r="A546" t="s">
        <v>10</v>
      </c>
      <c r="B546" t="s">
        <v>197</v>
      </c>
      <c r="C546" t="s">
        <v>343</v>
      </c>
      <c r="D546">
        <v>57964</v>
      </c>
      <c r="E546">
        <v>7</v>
      </c>
    </row>
    <row r="547" customHeight="1" spans="1:5">
      <c r="A547" t="s">
        <v>17</v>
      </c>
      <c r="B547" t="s">
        <v>76</v>
      </c>
      <c r="C547" t="s">
        <v>343</v>
      </c>
      <c r="D547">
        <v>47244</v>
      </c>
      <c r="E547">
        <v>8</v>
      </c>
    </row>
    <row r="548" customHeight="1" spans="1:5">
      <c r="A548" t="s">
        <v>12</v>
      </c>
      <c r="B548" t="s">
        <v>284</v>
      </c>
      <c r="C548" t="s">
        <v>344</v>
      </c>
      <c r="D548">
        <v>95572</v>
      </c>
      <c r="E548">
        <v>8</v>
      </c>
    </row>
    <row r="549" customHeight="1" spans="1:5">
      <c r="A549" t="s">
        <v>19</v>
      </c>
      <c r="B549" t="s">
        <v>47</v>
      </c>
      <c r="C549" t="s">
        <v>344</v>
      </c>
      <c r="D549">
        <v>64829</v>
      </c>
      <c r="E549">
        <v>6</v>
      </c>
    </row>
    <row r="550" customHeight="1" spans="1:5">
      <c r="A550" t="s">
        <v>48</v>
      </c>
      <c r="B550" t="s">
        <v>50</v>
      </c>
      <c r="C550" t="s">
        <v>344</v>
      </c>
      <c r="D550">
        <v>76104</v>
      </c>
      <c r="E550">
        <v>8</v>
      </c>
    </row>
    <row r="551" customHeight="1" spans="1:5">
      <c r="A551" t="s">
        <v>10</v>
      </c>
      <c r="B551" t="s">
        <v>119</v>
      </c>
      <c r="C551" t="s">
        <v>344</v>
      </c>
      <c r="D551">
        <v>90225</v>
      </c>
      <c r="E551">
        <v>8</v>
      </c>
    </row>
    <row r="552" customHeight="1" spans="1:5">
      <c r="A552" t="s">
        <v>8</v>
      </c>
      <c r="B552" t="s">
        <v>59</v>
      </c>
      <c r="C552" t="s">
        <v>345</v>
      </c>
      <c r="D552">
        <v>16357</v>
      </c>
      <c r="E552">
        <v>8</v>
      </c>
    </row>
    <row r="553" customHeight="1" spans="1:5">
      <c r="A553" t="s">
        <v>33</v>
      </c>
      <c r="B553" t="s">
        <v>22</v>
      </c>
      <c r="C553" t="s">
        <v>345</v>
      </c>
      <c r="D553">
        <v>52403</v>
      </c>
      <c r="E553">
        <v>7</v>
      </c>
    </row>
    <row r="554" customHeight="1" spans="1:5">
      <c r="A554" t="s">
        <v>8</v>
      </c>
      <c r="B554" t="s">
        <v>9</v>
      </c>
      <c r="C554" t="s">
        <v>345</v>
      </c>
      <c r="D554">
        <v>59951</v>
      </c>
      <c r="E554">
        <v>9</v>
      </c>
    </row>
    <row r="555" customHeight="1" spans="1:5">
      <c r="A555" t="s">
        <v>48</v>
      </c>
      <c r="B555" t="s">
        <v>253</v>
      </c>
      <c r="C555" t="s">
        <v>346</v>
      </c>
      <c r="D555">
        <v>76047</v>
      </c>
      <c r="E555">
        <v>8</v>
      </c>
    </row>
    <row r="556" customHeight="1" spans="1:5">
      <c r="A556" t="s">
        <v>12</v>
      </c>
      <c r="B556" t="s">
        <v>156</v>
      </c>
      <c r="C556" t="s">
        <v>346</v>
      </c>
      <c r="D556">
        <v>69748</v>
      </c>
      <c r="E556">
        <v>7</v>
      </c>
    </row>
    <row r="557" customHeight="1" spans="1:5">
      <c r="A557" t="s">
        <v>8</v>
      </c>
      <c r="B557" t="s">
        <v>113</v>
      </c>
      <c r="C557" t="s">
        <v>346</v>
      </c>
      <c r="D557">
        <v>73420</v>
      </c>
      <c r="E557">
        <v>6</v>
      </c>
    </row>
    <row r="558" customHeight="1" spans="1:5">
      <c r="A558" t="s">
        <v>30</v>
      </c>
      <c r="B558" t="s">
        <v>161</v>
      </c>
      <c r="C558" t="s">
        <v>347</v>
      </c>
      <c r="D558">
        <v>52853</v>
      </c>
      <c r="E558">
        <v>6</v>
      </c>
    </row>
    <row r="559" customHeight="1" spans="1:5">
      <c r="A559" t="s">
        <v>5</v>
      </c>
      <c r="B559" t="s">
        <v>94</v>
      </c>
      <c r="C559" t="s">
        <v>347</v>
      </c>
      <c r="D559">
        <v>61124</v>
      </c>
      <c r="E559">
        <v>10</v>
      </c>
    </row>
    <row r="560" customHeight="1" spans="1:5">
      <c r="A560" t="s">
        <v>12</v>
      </c>
      <c r="B560" t="s">
        <v>267</v>
      </c>
      <c r="C560" t="s">
        <v>347</v>
      </c>
      <c r="D560">
        <v>88507</v>
      </c>
      <c r="E560">
        <v>6</v>
      </c>
    </row>
    <row r="561" customHeight="1" spans="1:5">
      <c r="A561" t="s">
        <v>48</v>
      </c>
      <c r="B561" t="s">
        <v>164</v>
      </c>
      <c r="C561" t="s">
        <v>347</v>
      </c>
      <c r="D561">
        <v>29949</v>
      </c>
      <c r="E561">
        <v>9</v>
      </c>
    </row>
    <row r="562" customHeight="1" spans="1:5">
      <c r="A562" t="s">
        <v>19</v>
      </c>
      <c r="B562" t="s">
        <v>61</v>
      </c>
      <c r="C562" t="s">
        <v>347</v>
      </c>
      <c r="D562">
        <v>51299</v>
      </c>
      <c r="E562">
        <v>7</v>
      </c>
    </row>
    <row r="563" customHeight="1" spans="1:5">
      <c r="A563" t="s">
        <v>35</v>
      </c>
      <c r="B563" t="s">
        <v>170</v>
      </c>
      <c r="C563" t="s">
        <v>347</v>
      </c>
      <c r="D563">
        <v>76630</v>
      </c>
      <c r="E563">
        <v>7</v>
      </c>
    </row>
    <row r="564" customHeight="1" spans="1:5">
      <c r="A564" t="s">
        <v>10</v>
      </c>
      <c r="B564" t="s">
        <v>61</v>
      </c>
      <c r="C564" t="s">
        <v>347</v>
      </c>
      <c r="D564">
        <v>85774</v>
      </c>
      <c r="E564">
        <v>4</v>
      </c>
    </row>
    <row r="565" customHeight="1" spans="1:5">
      <c r="A565" t="s">
        <v>48</v>
      </c>
      <c r="B565" t="s">
        <v>260</v>
      </c>
      <c r="C565" t="s">
        <v>347</v>
      </c>
      <c r="D565">
        <v>41138</v>
      </c>
      <c r="E565">
        <v>0</v>
      </c>
    </row>
    <row r="566" customHeight="1" spans="1:5">
      <c r="A566" t="s">
        <v>35</v>
      </c>
      <c r="B566" t="s">
        <v>155</v>
      </c>
      <c r="C566" t="s">
        <v>347</v>
      </c>
      <c r="D566">
        <v>79672</v>
      </c>
      <c r="E566">
        <v>6</v>
      </c>
    </row>
    <row r="567" customHeight="1" spans="1:5">
      <c r="A567" t="s">
        <v>8</v>
      </c>
      <c r="B567" t="s">
        <v>156</v>
      </c>
      <c r="C567" t="s">
        <v>347</v>
      </c>
      <c r="D567">
        <v>43142</v>
      </c>
      <c r="E567">
        <v>7</v>
      </c>
    </row>
    <row r="568" customHeight="1" spans="1:5">
      <c r="A568" t="s">
        <v>35</v>
      </c>
      <c r="B568" t="s">
        <v>260</v>
      </c>
      <c r="C568" t="s">
        <v>348</v>
      </c>
      <c r="D568">
        <v>89451</v>
      </c>
      <c r="E568">
        <v>2</v>
      </c>
    </row>
    <row r="569" customHeight="1" spans="1:5">
      <c r="A569" t="s">
        <v>12</v>
      </c>
      <c r="B569" t="s">
        <v>47</v>
      </c>
      <c r="C569" t="s">
        <v>348</v>
      </c>
      <c r="D569">
        <v>20516</v>
      </c>
      <c r="E569">
        <v>5</v>
      </c>
    </row>
    <row r="570" customHeight="1" spans="1:5">
      <c r="A570" t="s">
        <v>30</v>
      </c>
      <c r="B570" t="s">
        <v>178</v>
      </c>
      <c r="C570" t="s">
        <v>348</v>
      </c>
      <c r="D570">
        <v>53552</v>
      </c>
      <c r="E570">
        <v>4</v>
      </c>
    </row>
    <row r="571" customHeight="1" spans="1:5">
      <c r="A571" t="s">
        <v>19</v>
      </c>
      <c r="B571" t="s">
        <v>107</v>
      </c>
      <c r="C571" t="s">
        <v>349</v>
      </c>
      <c r="D571">
        <v>26421</v>
      </c>
      <c r="E571">
        <v>7</v>
      </c>
    </row>
    <row r="572" customHeight="1" spans="1:5">
      <c r="A572" t="s">
        <v>17</v>
      </c>
      <c r="B572" t="s">
        <v>156</v>
      </c>
      <c r="C572" t="s">
        <v>349</v>
      </c>
      <c r="D572">
        <v>88918</v>
      </c>
      <c r="E572">
        <v>9</v>
      </c>
    </row>
    <row r="573" customHeight="1" spans="1:5">
      <c r="A573" t="s">
        <v>8</v>
      </c>
      <c r="B573" t="s">
        <v>274</v>
      </c>
      <c r="C573" t="s">
        <v>349</v>
      </c>
      <c r="D573">
        <v>10746</v>
      </c>
      <c r="E573">
        <v>6</v>
      </c>
    </row>
    <row r="574" customHeight="1" spans="1:5">
      <c r="A574" t="s">
        <v>10</v>
      </c>
      <c r="B574" t="s">
        <v>218</v>
      </c>
      <c r="C574" t="s">
        <v>349</v>
      </c>
      <c r="D574">
        <v>82727</v>
      </c>
      <c r="E574">
        <v>4</v>
      </c>
    </row>
    <row r="575" customHeight="1" spans="1:5">
      <c r="A575" t="s">
        <v>14</v>
      </c>
      <c r="B575" t="s">
        <v>176</v>
      </c>
      <c r="C575" t="s">
        <v>349</v>
      </c>
      <c r="D575">
        <v>30692</v>
      </c>
      <c r="E575">
        <v>3</v>
      </c>
    </row>
    <row r="576" customHeight="1" spans="1:5">
      <c r="A576" t="s">
        <v>21</v>
      </c>
      <c r="B576" t="s">
        <v>104</v>
      </c>
      <c r="C576" t="s">
        <v>349</v>
      </c>
      <c r="D576">
        <v>82353</v>
      </c>
      <c r="E576">
        <v>0</v>
      </c>
    </row>
    <row r="577" customHeight="1" spans="1:5">
      <c r="A577" t="s">
        <v>10</v>
      </c>
      <c r="B577" t="s">
        <v>317</v>
      </c>
      <c r="C577" t="s">
        <v>349</v>
      </c>
      <c r="D577">
        <v>69949</v>
      </c>
      <c r="E577">
        <v>8</v>
      </c>
    </row>
    <row r="578" customHeight="1" spans="1:5">
      <c r="A578" t="s">
        <v>33</v>
      </c>
      <c r="B578" t="s">
        <v>147</v>
      </c>
      <c r="C578" t="s">
        <v>350</v>
      </c>
      <c r="D578">
        <v>58918</v>
      </c>
      <c r="E578">
        <v>5</v>
      </c>
    </row>
    <row r="579" customHeight="1" spans="1:5">
      <c r="A579" t="s">
        <v>19</v>
      </c>
      <c r="B579" t="s">
        <v>161</v>
      </c>
      <c r="C579" t="s">
        <v>350</v>
      </c>
      <c r="D579">
        <v>87262</v>
      </c>
      <c r="E579">
        <v>5</v>
      </c>
    </row>
    <row r="580" customHeight="1" spans="1:5">
      <c r="A580" t="s">
        <v>30</v>
      </c>
      <c r="B580" t="s">
        <v>192</v>
      </c>
      <c r="C580" t="s">
        <v>350</v>
      </c>
      <c r="D580">
        <v>69635</v>
      </c>
      <c r="E580">
        <v>4</v>
      </c>
    </row>
    <row r="581" customHeight="1" spans="1:5">
      <c r="A581" t="s">
        <v>8</v>
      </c>
      <c r="B581" t="s">
        <v>117</v>
      </c>
      <c r="C581" t="s">
        <v>350</v>
      </c>
      <c r="D581">
        <v>40144</v>
      </c>
      <c r="E581">
        <v>7</v>
      </c>
    </row>
    <row r="582" customHeight="1" spans="1:5">
      <c r="A582" t="s">
        <v>17</v>
      </c>
      <c r="B582" t="s">
        <v>82</v>
      </c>
      <c r="C582" t="s">
        <v>350</v>
      </c>
      <c r="D582">
        <v>81526</v>
      </c>
      <c r="E582">
        <v>6</v>
      </c>
    </row>
    <row r="583" customHeight="1" spans="1:5">
      <c r="A583" t="s">
        <v>5</v>
      </c>
      <c r="B583" t="s">
        <v>121</v>
      </c>
      <c r="C583" t="s">
        <v>351</v>
      </c>
      <c r="D583">
        <v>89032</v>
      </c>
      <c r="E583">
        <v>7</v>
      </c>
    </row>
    <row r="584" customHeight="1" spans="1:5">
      <c r="A584" t="s">
        <v>10</v>
      </c>
      <c r="B584" t="s">
        <v>59</v>
      </c>
      <c r="C584" t="s">
        <v>351</v>
      </c>
      <c r="D584">
        <v>51340</v>
      </c>
      <c r="E584">
        <v>4</v>
      </c>
    </row>
    <row r="585" customHeight="1" spans="1:5">
      <c r="A585" t="s">
        <v>19</v>
      </c>
      <c r="B585" t="s">
        <v>260</v>
      </c>
      <c r="C585" t="s">
        <v>352</v>
      </c>
      <c r="D585">
        <v>22543</v>
      </c>
      <c r="E585">
        <v>7</v>
      </c>
    </row>
    <row r="586" customHeight="1" spans="1:5">
      <c r="A586" t="s">
        <v>5</v>
      </c>
      <c r="B586" t="s">
        <v>28</v>
      </c>
      <c r="C586" t="s">
        <v>352</v>
      </c>
      <c r="D586">
        <v>56242</v>
      </c>
      <c r="E586">
        <v>9</v>
      </c>
    </row>
    <row r="587" customHeight="1" spans="1:5">
      <c r="A587" t="s">
        <v>17</v>
      </c>
      <c r="B587" t="s">
        <v>9</v>
      </c>
      <c r="C587" t="s">
        <v>352</v>
      </c>
      <c r="D587">
        <v>10502</v>
      </c>
      <c r="E587">
        <v>10</v>
      </c>
    </row>
    <row r="588" customHeight="1" spans="1:5">
      <c r="A588" t="s">
        <v>10</v>
      </c>
      <c r="B588" t="s">
        <v>103</v>
      </c>
      <c r="C588" t="s">
        <v>352</v>
      </c>
      <c r="D588">
        <v>16110</v>
      </c>
      <c r="E588">
        <v>8</v>
      </c>
    </row>
    <row r="589" customHeight="1" spans="1:5">
      <c r="A589" t="s">
        <v>19</v>
      </c>
      <c r="B589" t="s">
        <v>181</v>
      </c>
      <c r="C589" t="s">
        <v>352</v>
      </c>
      <c r="D589">
        <v>22758</v>
      </c>
      <c r="E589">
        <v>10</v>
      </c>
    </row>
    <row r="590" customHeight="1" spans="1:5">
      <c r="A590" t="s">
        <v>19</v>
      </c>
      <c r="B590" t="s">
        <v>98</v>
      </c>
      <c r="C590" t="s">
        <v>353</v>
      </c>
      <c r="D590">
        <v>96309</v>
      </c>
      <c r="E590">
        <v>1</v>
      </c>
    </row>
    <row r="591" customHeight="1" spans="1:5">
      <c r="A591" t="s">
        <v>19</v>
      </c>
      <c r="B591" t="s">
        <v>215</v>
      </c>
      <c r="C591" t="s">
        <v>354</v>
      </c>
      <c r="D591">
        <v>55526</v>
      </c>
      <c r="E591">
        <v>7</v>
      </c>
    </row>
    <row r="592" customHeight="1" spans="1:5">
      <c r="A592" t="s">
        <v>5</v>
      </c>
      <c r="B592" t="s">
        <v>226</v>
      </c>
      <c r="C592" t="s">
        <v>354</v>
      </c>
      <c r="D592">
        <v>62073</v>
      </c>
      <c r="E592">
        <v>1</v>
      </c>
    </row>
    <row r="593" customHeight="1" spans="1:5">
      <c r="A593" t="s">
        <v>12</v>
      </c>
      <c r="B593" t="s">
        <v>273</v>
      </c>
      <c r="C593" t="s">
        <v>355</v>
      </c>
      <c r="D593">
        <v>58158</v>
      </c>
      <c r="E593">
        <v>7</v>
      </c>
    </row>
    <row r="594" customHeight="1" spans="1:5">
      <c r="A594" t="s">
        <v>14</v>
      </c>
      <c r="B594" t="s">
        <v>64</v>
      </c>
      <c r="C594" t="s">
        <v>355</v>
      </c>
      <c r="D594">
        <v>77224</v>
      </c>
      <c r="E594">
        <v>4</v>
      </c>
    </row>
    <row r="595" customHeight="1" spans="1:5">
      <c r="A595" t="s">
        <v>48</v>
      </c>
      <c r="B595" t="s">
        <v>204</v>
      </c>
      <c r="C595" t="s">
        <v>355</v>
      </c>
      <c r="D595">
        <v>75269</v>
      </c>
      <c r="E595">
        <v>8</v>
      </c>
    </row>
    <row r="596" customHeight="1" spans="1:5">
      <c r="A596" t="s">
        <v>14</v>
      </c>
      <c r="B596" t="s">
        <v>87</v>
      </c>
      <c r="C596" t="s">
        <v>355</v>
      </c>
      <c r="D596">
        <v>42365</v>
      </c>
      <c r="E596">
        <v>7</v>
      </c>
    </row>
    <row r="597" customHeight="1" spans="1:5">
      <c r="A597" t="s">
        <v>17</v>
      </c>
      <c r="B597" t="s">
        <v>34</v>
      </c>
      <c r="C597" t="s">
        <v>356</v>
      </c>
      <c r="D597">
        <v>66786</v>
      </c>
      <c r="E597">
        <v>5</v>
      </c>
    </row>
    <row r="598" customHeight="1" spans="1:5">
      <c r="A598" t="s">
        <v>30</v>
      </c>
      <c r="B598" t="s">
        <v>129</v>
      </c>
      <c r="C598" t="s">
        <v>356</v>
      </c>
      <c r="D598">
        <v>91927</v>
      </c>
      <c r="E598">
        <v>7</v>
      </c>
    </row>
    <row r="599" customHeight="1" spans="1:5">
      <c r="A599" t="s">
        <v>5</v>
      </c>
      <c r="B599" t="s">
        <v>56</v>
      </c>
      <c r="C599" t="s">
        <v>356</v>
      </c>
      <c r="D599">
        <v>46738</v>
      </c>
      <c r="E599">
        <v>10</v>
      </c>
    </row>
    <row r="600" customHeight="1" spans="1:5">
      <c r="A600" t="s">
        <v>14</v>
      </c>
      <c r="B600" t="s">
        <v>273</v>
      </c>
      <c r="C600" t="s">
        <v>356</v>
      </c>
      <c r="D600">
        <v>11534</v>
      </c>
      <c r="E600">
        <v>6</v>
      </c>
    </row>
    <row r="601" customHeight="1" spans="1:5">
      <c r="A601" t="s">
        <v>12</v>
      </c>
      <c r="B601" t="s">
        <v>63</v>
      </c>
      <c r="C601" t="s">
        <v>357</v>
      </c>
      <c r="D601">
        <v>72771</v>
      </c>
      <c r="E601">
        <v>8</v>
      </c>
    </row>
    <row r="602" customHeight="1" spans="1:5">
      <c r="A602" t="s">
        <v>8</v>
      </c>
      <c r="B602" t="s">
        <v>22</v>
      </c>
      <c r="C602" t="s">
        <v>357</v>
      </c>
      <c r="D602">
        <v>96166</v>
      </c>
      <c r="E602">
        <v>9</v>
      </c>
    </row>
    <row r="603" customHeight="1" spans="1:5">
      <c r="A603" t="s">
        <v>30</v>
      </c>
      <c r="B603" t="s">
        <v>220</v>
      </c>
      <c r="C603" t="s">
        <v>357</v>
      </c>
      <c r="D603">
        <v>73077</v>
      </c>
      <c r="E603">
        <v>7</v>
      </c>
    </row>
    <row r="604" customHeight="1" spans="1:5">
      <c r="A604" t="s">
        <v>19</v>
      </c>
      <c r="B604" t="s">
        <v>274</v>
      </c>
      <c r="C604" t="s">
        <v>357</v>
      </c>
      <c r="D604">
        <v>24097</v>
      </c>
      <c r="E604">
        <v>9</v>
      </c>
    </row>
    <row r="605" customHeight="1" spans="1:5">
      <c r="A605" t="s">
        <v>33</v>
      </c>
      <c r="B605" t="s">
        <v>92</v>
      </c>
      <c r="C605" t="s">
        <v>357</v>
      </c>
      <c r="D605">
        <v>88022</v>
      </c>
      <c r="E605">
        <v>8</v>
      </c>
    </row>
    <row r="606" customHeight="1" spans="1:5">
      <c r="A606" t="s">
        <v>12</v>
      </c>
      <c r="B606" t="s">
        <v>116</v>
      </c>
      <c r="C606" t="s">
        <v>357</v>
      </c>
      <c r="D606">
        <v>61830</v>
      </c>
      <c r="E606">
        <v>6</v>
      </c>
    </row>
    <row r="607" customHeight="1" spans="1:5">
      <c r="A607" t="s">
        <v>14</v>
      </c>
      <c r="B607" t="s">
        <v>103</v>
      </c>
      <c r="C607" t="s">
        <v>357</v>
      </c>
      <c r="D607">
        <v>59338</v>
      </c>
      <c r="E607">
        <v>4</v>
      </c>
    </row>
    <row r="608" customHeight="1" spans="1:5">
      <c r="A608" t="s">
        <v>19</v>
      </c>
      <c r="B608" t="s">
        <v>236</v>
      </c>
      <c r="C608" t="s">
        <v>357</v>
      </c>
      <c r="D608">
        <v>30402</v>
      </c>
      <c r="E608">
        <v>7</v>
      </c>
    </row>
    <row r="609" customHeight="1" spans="1:5">
      <c r="A609" t="s">
        <v>12</v>
      </c>
      <c r="B609" t="s">
        <v>264</v>
      </c>
      <c r="C609" t="s">
        <v>357</v>
      </c>
      <c r="D609">
        <v>69454</v>
      </c>
      <c r="E609">
        <v>10</v>
      </c>
    </row>
    <row r="610" customHeight="1" spans="1:5">
      <c r="A610" t="s">
        <v>33</v>
      </c>
      <c r="B610" t="s">
        <v>136</v>
      </c>
      <c r="C610" t="s">
        <v>358</v>
      </c>
      <c r="D610">
        <v>72854</v>
      </c>
      <c r="E610">
        <v>5</v>
      </c>
    </row>
    <row r="611" customHeight="1" spans="1:5">
      <c r="A611" t="s">
        <v>5</v>
      </c>
      <c r="B611" t="s">
        <v>28</v>
      </c>
      <c r="C611" t="s">
        <v>358</v>
      </c>
      <c r="D611">
        <v>66764</v>
      </c>
      <c r="E611">
        <v>6</v>
      </c>
    </row>
    <row r="612" customHeight="1" spans="1:5">
      <c r="A612" t="s">
        <v>14</v>
      </c>
      <c r="B612" t="s">
        <v>147</v>
      </c>
      <c r="C612" t="s">
        <v>358</v>
      </c>
      <c r="D612">
        <v>47658</v>
      </c>
      <c r="E612">
        <v>3</v>
      </c>
    </row>
    <row r="613" customHeight="1" spans="1:5">
      <c r="A613" t="s">
        <v>33</v>
      </c>
      <c r="B613" t="s">
        <v>56</v>
      </c>
      <c r="C613" t="s">
        <v>358</v>
      </c>
      <c r="D613">
        <v>52292</v>
      </c>
      <c r="E613">
        <v>10</v>
      </c>
    </row>
    <row r="614" customHeight="1" spans="1:5">
      <c r="A614" t="s">
        <v>33</v>
      </c>
      <c r="B614" t="s">
        <v>85</v>
      </c>
      <c r="C614" t="s">
        <v>359</v>
      </c>
      <c r="D614">
        <v>87389</v>
      </c>
      <c r="E614">
        <v>4</v>
      </c>
    </row>
    <row r="615" customHeight="1" spans="1:5">
      <c r="A615" t="s">
        <v>33</v>
      </c>
      <c r="B615" t="s">
        <v>222</v>
      </c>
      <c r="C615" t="s">
        <v>359</v>
      </c>
      <c r="D615">
        <v>41591</v>
      </c>
      <c r="E615">
        <v>5</v>
      </c>
    </row>
    <row r="616" customHeight="1" spans="1:5">
      <c r="A616" t="s">
        <v>10</v>
      </c>
      <c r="B616" t="s">
        <v>29</v>
      </c>
      <c r="C616" t="s">
        <v>359</v>
      </c>
      <c r="D616">
        <v>17760</v>
      </c>
      <c r="E616">
        <v>6</v>
      </c>
    </row>
    <row r="617" customHeight="1" spans="1:5">
      <c r="A617" t="s">
        <v>12</v>
      </c>
      <c r="B617" t="s">
        <v>136</v>
      </c>
      <c r="C617" t="s">
        <v>360</v>
      </c>
      <c r="D617">
        <v>76977</v>
      </c>
      <c r="E617">
        <v>8</v>
      </c>
    </row>
    <row r="618" customHeight="1" spans="1:5">
      <c r="A618" t="s">
        <v>30</v>
      </c>
      <c r="B618" t="s">
        <v>232</v>
      </c>
      <c r="C618" t="s">
        <v>360</v>
      </c>
      <c r="D618">
        <v>21246</v>
      </c>
      <c r="E618">
        <v>8</v>
      </c>
    </row>
    <row r="619" customHeight="1" spans="1:5">
      <c r="A619" t="s">
        <v>17</v>
      </c>
      <c r="B619" t="s">
        <v>281</v>
      </c>
      <c r="C619" t="s">
        <v>360</v>
      </c>
      <c r="D619">
        <v>97364</v>
      </c>
      <c r="E619">
        <v>7</v>
      </c>
    </row>
    <row r="620" customHeight="1" spans="1:5">
      <c r="A620" t="s">
        <v>17</v>
      </c>
      <c r="B620" t="s">
        <v>226</v>
      </c>
      <c r="C620" t="s">
        <v>361</v>
      </c>
      <c r="D620">
        <v>20048</v>
      </c>
      <c r="E620">
        <v>6</v>
      </c>
    </row>
    <row r="621" customHeight="1" spans="1:5">
      <c r="A621" t="s">
        <v>8</v>
      </c>
      <c r="B621" t="s">
        <v>261</v>
      </c>
      <c r="C621" t="s">
        <v>362</v>
      </c>
      <c r="D621">
        <v>68491</v>
      </c>
      <c r="E621">
        <v>4</v>
      </c>
    </row>
    <row r="622" customHeight="1" spans="1:5">
      <c r="A622" t="s">
        <v>14</v>
      </c>
      <c r="B622" t="s">
        <v>13</v>
      </c>
      <c r="C622" t="s">
        <v>362</v>
      </c>
      <c r="D622">
        <v>73051</v>
      </c>
      <c r="E622">
        <v>3</v>
      </c>
    </row>
    <row r="623" customHeight="1" spans="1:5">
      <c r="A623" t="s">
        <v>17</v>
      </c>
      <c r="B623" t="s">
        <v>250</v>
      </c>
      <c r="C623" t="s">
        <v>362</v>
      </c>
      <c r="D623">
        <v>15475</v>
      </c>
      <c r="E623">
        <v>3</v>
      </c>
    </row>
    <row r="624" customHeight="1" spans="1:5">
      <c r="A624" t="s">
        <v>12</v>
      </c>
      <c r="B624" t="s">
        <v>107</v>
      </c>
      <c r="C624" t="s">
        <v>362</v>
      </c>
      <c r="D624">
        <v>62817</v>
      </c>
      <c r="E624">
        <v>7</v>
      </c>
    </row>
    <row r="625" customHeight="1" spans="1:5">
      <c r="A625" t="s">
        <v>12</v>
      </c>
      <c r="B625" t="s">
        <v>87</v>
      </c>
      <c r="C625" t="s">
        <v>362</v>
      </c>
      <c r="D625">
        <v>34419</v>
      </c>
      <c r="E625">
        <v>6</v>
      </c>
    </row>
    <row r="626" customHeight="1" spans="1:5">
      <c r="A626" t="s">
        <v>14</v>
      </c>
      <c r="B626" t="s">
        <v>92</v>
      </c>
      <c r="C626" t="s">
        <v>363</v>
      </c>
      <c r="D626">
        <v>53855</v>
      </c>
      <c r="E626">
        <v>9</v>
      </c>
    </row>
    <row r="627" customHeight="1" spans="1:5">
      <c r="A627" t="s">
        <v>21</v>
      </c>
      <c r="B627" t="s">
        <v>119</v>
      </c>
      <c r="C627" t="s">
        <v>363</v>
      </c>
      <c r="D627">
        <v>35242</v>
      </c>
      <c r="E627">
        <v>5</v>
      </c>
    </row>
    <row r="628" customHeight="1" spans="1:5">
      <c r="A628" t="s">
        <v>14</v>
      </c>
      <c r="B628" t="s">
        <v>147</v>
      </c>
      <c r="C628" t="s">
        <v>363</v>
      </c>
      <c r="D628">
        <v>65866</v>
      </c>
      <c r="E628">
        <v>2</v>
      </c>
    </row>
    <row r="629" customHeight="1" spans="1:5">
      <c r="A629" t="s">
        <v>8</v>
      </c>
      <c r="B629" t="s">
        <v>110</v>
      </c>
      <c r="C629" t="s">
        <v>363</v>
      </c>
      <c r="D629">
        <v>64305</v>
      </c>
      <c r="E629">
        <v>7</v>
      </c>
    </row>
    <row r="630" customHeight="1" spans="1:5">
      <c r="A630" t="s">
        <v>10</v>
      </c>
      <c r="B630" t="s">
        <v>9</v>
      </c>
      <c r="C630" t="s">
        <v>364</v>
      </c>
      <c r="D630">
        <v>10659</v>
      </c>
      <c r="E630">
        <v>7</v>
      </c>
    </row>
    <row r="631" customHeight="1" spans="1:5">
      <c r="A631" t="s">
        <v>30</v>
      </c>
      <c r="B631" t="s">
        <v>82</v>
      </c>
      <c r="C631" t="s">
        <v>364</v>
      </c>
      <c r="D631">
        <v>12030</v>
      </c>
      <c r="E631">
        <v>8</v>
      </c>
    </row>
    <row r="632" customHeight="1" spans="1:5">
      <c r="A632" t="s">
        <v>48</v>
      </c>
      <c r="B632" t="s">
        <v>77</v>
      </c>
      <c r="C632" t="s">
        <v>365</v>
      </c>
      <c r="D632">
        <v>28034</v>
      </c>
      <c r="E632">
        <v>4</v>
      </c>
    </row>
    <row r="633" customHeight="1" spans="1:5">
      <c r="A633" t="s">
        <v>48</v>
      </c>
      <c r="B633" t="s">
        <v>258</v>
      </c>
      <c r="C633" t="s">
        <v>365</v>
      </c>
      <c r="D633">
        <v>42635</v>
      </c>
      <c r="E633">
        <v>7</v>
      </c>
    </row>
    <row r="634" customHeight="1" spans="1:5">
      <c r="A634" t="s">
        <v>5</v>
      </c>
      <c r="B634" t="s">
        <v>41</v>
      </c>
      <c r="C634" t="s">
        <v>365</v>
      </c>
      <c r="D634">
        <v>10741</v>
      </c>
      <c r="E634">
        <v>5</v>
      </c>
    </row>
    <row r="635" customHeight="1" spans="1:5">
      <c r="A635" t="s">
        <v>35</v>
      </c>
      <c r="B635" t="s">
        <v>214</v>
      </c>
      <c r="C635" t="s">
        <v>365</v>
      </c>
      <c r="D635">
        <v>90536</v>
      </c>
      <c r="E635">
        <v>9</v>
      </c>
    </row>
    <row r="636" customHeight="1" spans="1:5">
      <c r="A636" t="s">
        <v>33</v>
      </c>
      <c r="B636" t="s">
        <v>82</v>
      </c>
      <c r="C636" t="s">
        <v>365</v>
      </c>
      <c r="D636">
        <v>37378</v>
      </c>
      <c r="E636">
        <v>8</v>
      </c>
    </row>
    <row r="637" customHeight="1" spans="1:5">
      <c r="A637" t="s">
        <v>10</v>
      </c>
      <c r="B637" t="s">
        <v>231</v>
      </c>
      <c r="C637" t="s">
        <v>365</v>
      </c>
      <c r="D637">
        <v>61599</v>
      </c>
      <c r="E637">
        <v>7</v>
      </c>
    </row>
    <row r="638" customHeight="1" spans="1:5">
      <c r="A638" t="s">
        <v>8</v>
      </c>
      <c r="B638" t="s">
        <v>75</v>
      </c>
      <c r="C638" t="s">
        <v>366</v>
      </c>
      <c r="D638">
        <v>95429</v>
      </c>
      <c r="E638">
        <v>6</v>
      </c>
    </row>
    <row r="639" customHeight="1" spans="1:5">
      <c r="A639" t="s">
        <v>19</v>
      </c>
      <c r="B639" t="s">
        <v>116</v>
      </c>
      <c r="C639" t="s">
        <v>366</v>
      </c>
      <c r="D639">
        <v>81885</v>
      </c>
      <c r="E639">
        <v>7</v>
      </c>
    </row>
    <row r="640" customHeight="1" spans="1:5">
      <c r="A640" t="s">
        <v>33</v>
      </c>
      <c r="B640" t="s">
        <v>54</v>
      </c>
      <c r="C640" t="s">
        <v>366</v>
      </c>
      <c r="D640">
        <v>81211</v>
      </c>
      <c r="E640">
        <v>4</v>
      </c>
    </row>
    <row r="641" customHeight="1" spans="1:5">
      <c r="A641" t="s">
        <v>5</v>
      </c>
      <c r="B641" t="s">
        <v>85</v>
      </c>
      <c r="C641" t="s">
        <v>366</v>
      </c>
      <c r="D641">
        <v>80393</v>
      </c>
      <c r="E641">
        <v>4</v>
      </c>
    </row>
    <row r="642" customHeight="1" spans="1:5">
      <c r="A642" t="s">
        <v>33</v>
      </c>
      <c r="B642" t="s">
        <v>256</v>
      </c>
      <c r="C642" t="s">
        <v>366</v>
      </c>
      <c r="D642">
        <v>44707</v>
      </c>
      <c r="E642">
        <v>7</v>
      </c>
    </row>
    <row r="643" customHeight="1" spans="1:5">
      <c r="A643" t="s">
        <v>33</v>
      </c>
      <c r="B643" t="s">
        <v>185</v>
      </c>
      <c r="C643" t="s">
        <v>366</v>
      </c>
      <c r="D643">
        <v>88275</v>
      </c>
      <c r="E643">
        <v>8</v>
      </c>
    </row>
    <row r="644" customHeight="1" spans="1:5">
      <c r="A644" t="s">
        <v>35</v>
      </c>
      <c r="B644" t="s">
        <v>205</v>
      </c>
      <c r="C644" t="s">
        <v>366</v>
      </c>
      <c r="D644">
        <v>13840</v>
      </c>
      <c r="E644">
        <v>8</v>
      </c>
    </row>
    <row r="645" customHeight="1" spans="1:5">
      <c r="A645" t="s">
        <v>5</v>
      </c>
      <c r="B645" t="s">
        <v>164</v>
      </c>
      <c r="C645" t="s">
        <v>366</v>
      </c>
      <c r="D645">
        <v>21856</v>
      </c>
      <c r="E645">
        <v>6</v>
      </c>
    </row>
    <row r="646" customHeight="1" spans="1:5">
      <c r="A646" t="s">
        <v>48</v>
      </c>
      <c r="B646" t="s">
        <v>52</v>
      </c>
      <c r="C646" t="s">
        <v>366</v>
      </c>
      <c r="D646">
        <v>93418</v>
      </c>
      <c r="E646">
        <v>3</v>
      </c>
    </row>
    <row r="647" customHeight="1" spans="1:5">
      <c r="A647" t="s">
        <v>48</v>
      </c>
      <c r="B647" t="s">
        <v>222</v>
      </c>
      <c r="C647" t="s">
        <v>366</v>
      </c>
      <c r="D647">
        <v>46353</v>
      </c>
      <c r="E647">
        <v>5</v>
      </c>
    </row>
    <row r="648" customHeight="1" spans="1:5">
      <c r="A648" t="s">
        <v>19</v>
      </c>
      <c r="B648" t="s">
        <v>209</v>
      </c>
      <c r="C648" t="s">
        <v>367</v>
      </c>
      <c r="D648">
        <v>85814</v>
      </c>
      <c r="E648">
        <v>8</v>
      </c>
    </row>
    <row r="649" customHeight="1" spans="1:5">
      <c r="A649" t="s">
        <v>5</v>
      </c>
      <c r="B649" t="s">
        <v>368</v>
      </c>
      <c r="C649" t="s">
        <v>367</v>
      </c>
      <c r="D649">
        <v>98908</v>
      </c>
      <c r="E649">
        <v>8</v>
      </c>
    </row>
    <row r="650" customHeight="1" spans="1:5">
      <c r="A650" t="s">
        <v>21</v>
      </c>
      <c r="B650" t="s">
        <v>37</v>
      </c>
      <c r="C650" t="s">
        <v>367</v>
      </c>
      <c r="D650">
        <v>38122</v>
      </c>
      <c r="E650">
        <v>7</v>
      </c>
    </row>
    <row r="651" customHeight="1" spans="1:5">
      <c r="A651" t="s">
        <v>10</v>
      </c>
      <c r="B651" t="s">
        <v>202</v>
      </c>
      <c r="C651" t="s">
        <v>369</v>
      </c>
      <c r="D651">
        <v>16336</v>
      </c>
      <c r="E651">
        <v>7</v>
      </c>
    </row>
    <row r="652" customHeight="1" spans="1:5">
      <c r="A652" t="s">
        <v>30</v>
      </c>
      <c r="B652" t="s">
        <v>256</v>
      </c>
      <c r="C652" t="s">
        <v>370</v>
      </c>
      <c r="D652">
        <v>95183</v>
      </c>
      <c r="E652">
        <v>5</v>
      </c>
    </row>
    <row r="653" customHeight="1" spans="1:5">
      <c r="A653" t="s">
        <v>10</v>
      </c>
      <c r="B653" t="s">
        <v>156</v>
      </c>
      <c r="C653" t="s">
        <v>370</v>
      </c>
      <c r="D653">
        <v>79042</v>
      </c>
      <c r="E653">
        <v>9</v>
      </c>
    </row>
    <row r="654" customHeight="1" spans="1:5">
      <c r="A654" t="s">
        <v>33</v>
      </c>
      <c r="B654" t="s">
        <v>258</v>
      </c>
      <c r="C654" t="s">
        <v>370</v>
      </c>
      <c r="D654">
        <v>48027</v>
      </c>
      <c r="E654">
        <v>8</v>
      </c>
    </row>
    <row r="655" customHeight="1" spans="1:5">
      <c r="A655" t="s">
        <v>17</v>
      </c>
      <c r="B655" t="s">
        <v>94</v>
      </c>
      <c r="C655" t="s">
        <v>370</v>
      </c>
      <c r="D655">
        <v>99246</v>
      </c>
      <c r="E655">
        <v>6</v>
      </c>
    </row>
    <row r="656" customHeight="1" spans="1:5">
      <c r="A656" t="s">
        <v>48</v>
      </c>
      <c r="B656" t="s">
        <v>72</v>
      </c>
      <c r="C656" t="s">
        <v>370</v>
      </c>
      <c r="D656">
        <v>90612</v>
      </c>
      <c r="E656">
        <v>3</v>
      </c>
    </row>
    <row r="657" customHeight="1" spans="1:5">
      <c r="A657" t="s">
        <v>10</v>
      </c>
      <c r="B657" t="s">
        <v>371</v>
      </c>
      <c r="C657" t="s">
        <v>370</v>
      </c>
      <c r="D657">
        <v>69557</v>
      </c>
      <c r="E657">
        <v>7</v>
      </c>
    </row>
    <row r="658" customHeight="1" spans="1:5">
      <c r="A658" t="s">
        <v>14</v>
      </c>
      <c r="B658" t="s">
        <v>43</v>
      </c>
      <c r="C658" t="s">
        <v>372</v>
      </c>
      <c r="D658">
        <v>62008</v>
      </c>
      <c r="E658">
        <v>6</v>
      </c>
    </row>
    <row r="659" customHeight="1" spans="1:5">
      <c r="A659" t="s">
        <v>30</v>
      </c>
      <c r="B659" t="s">
        <v>137</v>
      </c>
      <c r="C659" t="s">
        <v>372</v>
      </c>
      <c r="D659">
        <v>15019</v>
      </c>
      <c r="E659">
        <v>2</v>
      </c>
    </row>
    <row r="660" customHeight="1" spans="1:5">
      <c r="A660" t="s">
        <v>12</v>
      </c>
      <c r="B660" t="s">
        <v>13</v>
      </c>
      <c r="C660" t="s">
        <v>372</v>
      </c>
      <c r="D660">
        <v>51911</v>
      </c>
      <c r="E660">
        <v>8</v>
      </c>
    </row>
    <row r="661" customHeight="1" spans="1:5">
      <c r="A661" t="s">
        <v>8</v>
      </c>
      <c r="B661" t="s">
        <v>215</v>
      </c>
      <c r="C661" t="s">
        <v>373</v>
      </c>
      <c r="D661">
        <v>26078</v>
      </c>
      <c r="E661">
        <v>7</v>
      </c>
    </row>
    <row r="662" customHeight="1" spans="1:5">
      <c r="A662" t="s">
        <v>12</v>
      </c>
      <c r="B662" t="s">
        <v>99</v>
      </c>
      <c r="C662" t="s">
        <v>373</v>
      </c>
      <c r="D662">
        <v>54582</v>
      </c>
      <c r="E662">
        <v>5</v>
      </c>
    </row>
    <row r="663" customHeight="1" spans="1:5">
      <c r="A663" t="s">
        <v>48</v>
      </c>
      <c r="B663" t="s">
        <v>80</v>
      </c>
      <c r="C663" t="s">
        <v>373</v>
      </c>
      <c r="D663">
        <v>45792</v>
      </c>
      <c r="E663">
        <v>6</v>
      </c>
    </row>
    <row r="664" customHeight="1" spans="1:5">
      <c r="A664" t="s">
        <v>12</v>
      </c>
      <c r="B664" t="s">
        <v>330</v>
      </c>
      <c r="C664" t="s">
        <v>373</v>
      </c>
      <c r="D664">
        <v>66544</v>
      </c>
      <c r="E664">
        <v>3</v>
      </c>
    </row>
    <row r="665" customHeight="1" spans="1:5">
      <c r="A665" t="s">
        <v>35</v>
      </c>
      <c r="B665" t="s">
        <v>24</v>
      </c>
      <c r="C665" t="s">
        <v>373</v>
      </c>
      <c r="D665">
        <v>72559</v>
      </c>
      <c r="E665">
        <v>3</v>
      </c>
    </row>
    <row r="666" customHeight="1" spans="1:5">
      <c r="A666" t="s">
        <v>48</v>
      </c>
      <c r="B666" t="s">
        <v>72</v>
      </c>
      <c r="C666" t="s">
        <v>374</v>
      </c>
      <c r="D666">
        <v>50428</v>
      </c>
      <c r="E666">
        <v>1</v>
      </c>
    </row>
    <row r="667" customHeight="1" spans="1:5">
      <c r="A667" t="s">
        <v>35</v>
      </c>
      <c r="B667" t="s">
        <v>89</v>
      </c>
      <c r="C667" t="s">
        <v>374</v>
      </c>
      <c r="D667">
        <v>34702</v>
      </c>
      <c r="E667">
        <v>5</v>
      </c>
    </row>
    <row r="668" customHeight="1" spans="1:5">
      <c r="A668" t="s">
        <v>8</v>
      </c>
      <c r="B668" t="s">
        <v>28</v>
      </c>
      <c r="C668" t="s">
        <v>374</v>
      </c>
      <c r="D668">
        <v>60137</v>
      </c>
      <c r="E668">
        <v>8</v>
      </c>
    </row>
    <row r="669" customHeight="1" spans="1:5">
      <c r="A669" t="s">
        <v>35</v>
      </c>
      <c r="B669" t="s">
        <v>195</v>
      </c>
      <c r="C669" t="s">
        <v>374</v>
      </c>
      <c r="D669">
        <v>87638</v>
      </c>
      <c r="E669">
        <v>4</v>
      </c>
    </row>
    <row r="670" customHeight="1" spans="1:5">
      <c r="A670" t="s">
        <v>35</v>
      </c>
      <c r="B670" t="s">
        <v>104</v>
      </c>
      <c r="C670" t="s">
        <v>375</v>
      </c>
      <c r="D670">
        <v>93201</v>
      </c>
      <c r="E670">
        <v>10</v>
      </c>
    </row>
    <row r="671" customHeight="1" spans="1:5">
      <c r="A671" t="s">
        <v>48</v>
      </c>
      <c r="B671" t="s">
        <v>158</v>
      </c>
      <c r="C671" t="s">
        <v>375</v>
      </c>
      <c r="D671">
        <v>14608</v>
      </c>
      <c r="E671">
        <v>7</v>
      </c>
    </row>
    <row r="672" customHeight="1" spans="1:5">
      <c r="A672" t="s">
        <v>5</v>
      </c>
      <c r="B672" t="s">
        <v>376</v>
      </c>
      <c r="C672" t="s">
        <v>377</v>
      </c>
      <c r="D672">
        <v>95895</v>
      </c>
      <c r="E672">
        <v>8</v>
      </c>
    </row>
    <row r="673" customHeight="1" spans="1:5">
      <c r="A673" t="s">
        <v>10</v>
      </c>
      <c r="B673" t="s">
        <v>185</v>
      </c>
      <c r="C673" t="s">
        <v>377</v>
      </c>
      <c r="D673">
        <v>85187</v>
      </c>
      <c r="E673">
        <v>4</v>
      </c>
    </row>
    <row r="674" customHeight="1" spans="1:5">
      <c r="A674" t="s">
        <v>21</v>
      </c>
      <c r="B674" t="s">
        <v>103</v>
      </c>
      <c r="C674" t="s">
        <v>378</v>
      </c>
      <c r="D674">
        <v>46965</v>
      </c>
      <c r="E674">
        <v>5</v>
      </c>
    </row>
    <row r="675" customHeight="1" spans="1:5">
      <c r="A675" t="s">
        <v>10</v>
      </c>
      <c r="B675" t="s">
        <v>281</v>
      </c>
      <c r="C675" t="s">
        <v>378</v>
      </c>
      <c r="D675">
        <v>42180</v>
      </c>
      <c r="E675">
        <v>5</v>
      </c>
    </row>
    <row r="676" customHeight="1" spans="1:5">
      <c r="A676" t="s">
        <v>14</v>
      </c>
      <c r="B676" t="s">
        <v>167</v>
      </c>
      <c r="C676" t="s">
        <v>378</v>
      </c>
      <c r="D676">
        <v>76224</v>
      </c>
      <c r="E676">
        <v>7</v>
      </c>
    </row>
    <row r="677" customHeight="1" spans="1:5">
      <c r="A677" t="s">
        <v>10</v>
      </c>
      <c r="B677" t="s">
        <v>171</v>
      </c>
      <c r="C677" t="s">
        <v>378</v>
      </c>
      <c r="D677">
        <v>97598</v>
      </c>
      <c r="E677">
        <v>1</v>
      </c>
    </row>
    <row r="678" customHeight="1" spans="1:5">
      <c r="A678" t="s">
        <v>17</v>
      </c>
      <c r="B678" t="s">
        <v>289</v>
      </c>
      <c r="C678" t="s">
        <v>379</v>
      </c>
      <c r="D678">
        <v>13321</v>
      </c>
      <c r="E678">
        <v>8</v>
      </c>
    </row>
    <row r="679" customHeight="1" spans="1:5">
      <c r="A679" t="s">
        <v>33</v>
      </c>
      <c r="B679" t="s">
        <v>136</v>
      </c>
      <c r="C679" t="s">
        <v>379</v>
      </c>
      <c r="D679">
        <v>99124</v>
      </c>
      <c r="E679">
        <v>7</v>
      </c>
    </row>
    <row r="680" customHeight="1" spans="1:5">
      <c r="A680" t="s">
        <v>21</v>
      </c>
      <c r="B680" t="s">
        <v>75</v>
      </c>
      <c r="C680" t="s">
        <v>379</v>
      </c>
      <c r="D680">
        <v>36996</v>
      </c>
      <c r="E680">
        <v>8</v>
      </c>
    </row>
    <row r="681" customHeight="1" spans="1:5">
      <c r="A681" t="s">
        <v>5</v>
      </c>
      <c r="B681" t="s">
        <v>194</v>
      </c>
      <c r="C681" t="s">
        <v>379</v>
      </c>
      <c r="D681">
        <v>25700</v>
      </c>
      <c r="E681">
        <v>8</v>
      </c>
    </row>
    <row r="682" customHeight="1" spans="1:5">
      <c r="A682" t="s">
        <v>14</v>
      </c>
      <c r="B682" t="s">
        <v>145</v>
      </c>
      <c r="C682" t="s">
        <v>379</v>
      </c>
      <c r="D682">
        <v>96543</v>
      </c>
      <c r="E682">
        <v>5</v>
      </c>
    </row>
    <row r="683" customHeight="1" spans="1:5">
      <c r="A683" t="s">
        <v>12</v>
      </c>
      <c r="B683" t="s">
        <v>64</v>
      </c>
      <c r="C683" t="s">
        <v>379</v>
      </c>
      <c r="D683">
        <v>78579</v>
      </c>
      <c r="E683">
        <v>8</v>
      </c>
    </row>
    <row r="684" customHeight="1" spans="1:5">
      <c r="A684" t="s">
        <v>21</v>
      </c>
      <c r="B684" t="s">
        <v>249</v>
      </c>
      <c r="C684" t="s">
        <v>380</v>
      </c>
      <c r="D684">
        <v>75964</v>
      </c>
      <c r="E684">
        <v>10</v>
      </c>
    </row>
    <row r="685" customHeight="1" spans="1:5">
      <c r="A685" t="s">
        <v>30</v>
      </c>
      <c r="B685" t="s">
        <v>182</v>
      </c>
      <c r="C685" t="s">
        <v>380</v>
      </c>
      <c r="D685">
        <v>10688</v>
      </c>
      <c r="E685">
        <v>1</v>
      </c>
    </row>
    <row r="686" customHeight="1" spans="1:5">
      <c r="A686" t="s">
        <v>30</v>
      </c>
      <c r="B686" t="s">
        <v>182</v>
      </c>
      <c r="C686" t="s">
        <v>380</v>
      </c>
      <c r="D686">
        <v>92087</v>
      </c>
      <c r="E686">
        <v>8</v>
      </c>
    </row>
    <row r="687" customHeight="1" spans="1:5">
      <c r="A687" t="s">
        <v>35</v>
      </c>
      <c r="B687" t="s">
        <v>381</v>
      </c>
      <c r="C687" t="s">
        <v>382</v>
      </c>
      <c r="D687">
        <v>21237</v>
      </c>
      <c r="E687">
        <v>8</v>
      </c>
    </row>
    <row r="688" customHeight="1" spans="1:5">
      <c r="A688" t="s">
        <v>48</v>
      </c>
      <c r="B688" t="s">
        <v>160</v>
      </c>
      <c r="C688" t="s">
        <v>382</v>
      </c>
      <c r="D688">
        <v>68494</v>
      </c>
      <c r="E688">
        <v>7</v>
      </c>
    </row>
    <row r="689" customHeight="1" spans="1:5">
      <c r="A689" t="s">
        <v>35</v>
      </c>
      <c r="B689" t="s">
        <v>332</v>
      </c>
      <c r="C689" t="s">
        <v>382</v>
      </c>
      <c r="D689">
        <v>25626</v>
      </c>
      <c r="E689">
        <v>7</v>
      </c>
    </row>
    <row r="690" customHeight="1" spans="1:5">
      <c r="A690" t="s">
        <v>10</v>
      </c>
      <c r="B690" t="s">
        <v>31</v>
      </c>
      <c r="C690" t="s">
        <v>383</v>
      </c>
      <c r="D690">
        <v>53303</v>
      </c>
      <c r="E690">
        <v>7</v>
      </c>
    </row>
    <row r="691" customHeight="1" spans="1:5">
      <c r="A691" t="s">
        <v>17</v>
      </c>
      <c r="B691" t="s">
        <v>384</v>
      </c>
      <c r="C691" t="s">
        <v>383</v>
      </c>
      <c r="D691">
        <v>91739</v>
      </c>
      <c r="E691">
        <v>9</v>
      </c>
    </row>
    <row r="692" customHeight="1" spans="1:5">
      <c r="A692" t="s">
        <v>33</v>
      </c>
      <c r="B692" t="s">
        <v>46</v>
      </c>
      <c r="C692" t="s">
        <v>385</v>
      </c>
      <c r="D692">
        <v>92381</v>
      </c>
      <c r="E692">
        <v>10</v>
      </c>
    </row>
    <row r="693" customHeight="1" spans="1:5">
      <c r="A693" t="s">
        <v>48</v>
      </c>
      <c r="B693" t="s">
        <v>184</v>
      </c>
      <c r="C693" t="s">
        <v>385</v>
      </c>
      <c r="D693">
        <v>89107</v>
      </c>
      <c r="E693">
        <v>3</v>
      </c>
    </row>
    <row r="694" customHeight="1" spans="1:5">
      <c r="A694" t="s">
        <v>33</v>
      </c>
      <c r="B694" t="s">
        <v>197</v>
      </c>
      <c r="C694" t="s">
        <v>385</v>
      </c>
      <c r="D694">
        <v>63474</v>
      </c>
      <c r="E694">
        <v>6</v>
      </c>
    </row>
    <row r="695" customHeight="1" spans="1:5">
      <c r="A695" t="s">
        <v>17</v>
      </c>
      <c r="B695" t="s">
        <v>28</v>
      </c>
      <c r="C695" t="s">
        <v>385</v>
      </c>
      <c r="D695">
        <v>93164</v>
      </c>
      <c r="E695">
        <v>8</v>
      </c>
    </row>
    <row r="696" customHeight="1" spans="1:5">
      <c r="A696" t="s">
        <v>21</v>
      </c>
      <c r="B696" t="s">
        <v>37</v>
      </c>
      <c r="C696" t="s">
        <v>385</v>
      </c>
      <c r="D696">
        <v>10158</v>
      </c>
      <c r="E696">
        <v>8</v>
      </c>
    </row>
    <row r="697" customHeight="1" spans="1:5">
      <c r="A697" t="s">
        <v>30</v>
      </c>
      <c r="B697" t="s">
        <v>104</v>
      </c>
      <c r="C697" t="s">
        <v>385</v>
      </c>
      <c r="D697">
        <v>38984</v>
      </c>
      <c r="E697">
        <v>5</v>
      </c>
    </row>
    <row r="698" customHeight="1" spans="1:5">
      <c r="A698" t="s">
        <v>12</v>
      </c>
      <c r="B698" t="s">
        <v>285</v>
      </c>
      <c r="C698" t="s">
        <v>385</v>
      </c>
      <c r="D698">
        <v>55898</v>
      </c>
      <c r="E698">
        <v>10</v>
      </c>
    </row>
    <row r="699" customHeight="1" spans="1:5">
      <c r="A699" t="s">
        <v>19</v>
      </c>
      <c r="B699" t="s">
        <v>156</v>
      </c>
      <c r="C699" t="s">
        <v>385</v>
      </c>
      <c r="D699">
        <v>26600</v>
      </c>
      <c r="E699">
        <v>6</v>
      </c>
    </row>
    <row r="700" customHeight="1" spans="1:5">
      <c r="A700" t="s">
        <v>17</v>
      </c>
      <c r="B700" t="s">
        <v>76</v>
      </c>
      <c r="C700" t="s">
        <v>385</v>
      </c>
      <c r="D700">
        <v>56944</v>
      </c>
      <c r="E700">
        <v>5</v>
      </c>
    </row>
    <row r="701" customHeight="1" spans="1:5">
      <c r="A701" t="s">
        <v>12</v>
      </c>
      <c r="B701" t="s">
        <v>293</v>
      </c>
      <c r="C701" t="s">
        <v>385</v>
      </c>
      <c r="D701">
        <v>70955</v>
      </c>
      <c r="E701">
        <v>5</v>
      </c>
    </row>
    <row r="702" customHeight="1" spans="1:5">
      <c r="A702" t="s">
        <v>21</v>
      </c>
      <c r="B702" t="s">
        <v>64</v>
      </c>
      <c r="C702" t="s">
        <v>386</v>
      </c>
      <c r="D702">
        <v>29153</v>
      </c>
      <c r="E702">
        <v>9</v>
      </c>
    </row>
    <row r="703" customHeight="1" spans="1:5">
      <c r="A703" t="s">
        <v>21</v>
      </c>
      <c r="B703" t="s">
        <v>6</v>
      </c>
      <c r="C703" t="s">
        <v>386</v>
      </c>
      <c r="D703">
        <v>61109</v>
      </c>
      <c r="E703">
        <v>8</v>
      </c>
    </row>
    <row r="704" customHeight="1" spans="1:5">
      <c r="A704" t="s">
        <v>35</v>
      </c>
      <c r="B704" t="s">
        <v>182</v>
      </c>
      <c r="C704" t="s">
        <v>386</v>
      </c>
      <c r="D704">
        <v>70479</v>
      </c>
      <c r="E704">
        <v>3</v>
      </c>
    </row>
    <row r="705" customHeight="1" spans="1:5">
      <c r="A705" t="s">
        <v>33</v>
      </c>
      <c r="B705" t="s">
        <v>284</v>
      </c>
      <c r="C705" t="s">
        <v>387</v>
      </c>
      <c r="D705">
        <v>65902</v>
      </c>
      <c r="E705">
        <v>8</v>
      </c>
    </row>
    <row r="706" customHeight="1" spans="1:5">
      <c r="A706" t="s">
        <v>12</v>
      </c>
      <c r="B706" t="s">
        <v>103</v>
      </c>
      <c r="C706" t="s">
        <v>387</v>
      </c>
      <c r="D706">
        <v>44761</v>
      </c>
      <c r="E706">
        <v>2</v>
      </c>
    </row>
    <row r="707" customHeight="1" spans="1:5">
      <c r="A707" t="s">
        <v>17</v>
      </c>
      <c r="B707" t="s">
        <v>171</v>
      </c>
      <c r="C707" t="s">
        <v>388</v>
      </c>
      <c r="D707">
        <v>75757</v>
      </c>
      <c r="E707">
        <v>7</v>
      </c>
    </row>
    <row r="708" customHeight="1" spans="1:5">
      <c r="A708" t="s">
        <v>21</v>
      </c>
      <c r="B708" t="s">
        <v>226</v>
      </c>
      <c r="C708" t="s">
        <v>388</v>
      </c>
      <c r="D708">
        <v>80443</v>
      </c>
      <c r="E708">
        <v>7</v>
      </c>
    </row>
    <row r="709" customHeight="1" spans="1:5">
      <c r="A709" t="s">
        <v>14</v>
      </c>
      <c r="B709" t="s">
        <v>117</v>
      </c>
      <c r="C709" t="s">
        <v>388</v>
      </c>
      <c r="D709">
        <v>44713</v>
      </c>
      <c r="E709">
        <v>8</v>
      </c>
    </row>
    <row r="710" customHeight="1" spans="1:5">
      <c r="A710" t="s">
        <v>10</v>
      </c>
      <c r="B710" t="s">
        <v>65</v>
      </c>
      <c r="C710" t="s">
        <v>389</v>
      </c>
      <c r="D710">
        <v>41517</v>
      </c>
      <c r="E710">
        <v>7</v>
      </c>
    </row>
    <row r="711" customHeight="1" spans="1:5">
      <c r="A711" t="s">
        <v>14</v>
      </c>
      <c r="B711" t="s">
        <v>76</v>
      </c>
      <c r="C711" t="s">
        <v>389</v>
      </c>
      <c r="D711">
        <v>76782</v>
      </c>
      <c r="E711">
        <v>2</v>
      </c>
    </row>
    <row r="712" customHeight="1" spans="1:5">
      <c r="A712" t="s">
        <v>5</v>
      </c>
      <c r="B712" t="s">
        <v>89</v>
      </c>
      <c r="C712" t="s">
        <v>389</v>
      </c>
      <c r="D712">
        <v>86590</v>
      </c>
      <c r="E712">
        <v>3</v>
      </c>
    </row>
    <row r="713" customHeight="1" spans="1:5">
      <c r="A713" t="s">
        <v>12</v>
      </c>
      <c r="B713" t="s">
        <v>137</v>
      </c>
      <c r="C713" t="s">
        <v>389</v>
      </c>
      <c r="D713">
        <v>80300</v>
      </c>
      <c r="E713">
        <v>6</v>
      </c>
    </row>
    <row r="714" customHeight="1" spans="1:5">
      <c r="A714" t="s">
        <v>5</v>
      </c>
      <c r="B714" t="s">
        <v>66</v>
      </c>
      <c r="C714" t="s">
        <v>390</v>
      </c>
      <c r="D714">
        <v>35873</v>
      </c>
      <c r="E714">
        <v>4</v>
      </c>
    </row>
    <row r="715" customHeight="1" spans="1:5">
      <c r="A715" t="s">
        <v>8</v>
      </c>
      <c r="B715" t="s">
        <v>64</v>
      </c>
      <c r="C715" t="s">
        <v>390</v>
      </c>
      <c r="D715">
        <v>58639</v>
      </c>
      <c r="E715">
        <v>10</v>
      </c>
    </row>
    <row r="716" customHeight="1" spans="1:5">
      <c r="A716" t="s">
        <v>21</v>
      </c>
      <c r="B716" t="s">
        <v>263</v>
      </c>
      <c r="C716" t="s">
        <v>390</v>
      </c>
      <c r="D716">
        <v>40710</v>
      </c>
      <c r="E716">
        <v>9</v>
      </c>
    </row>
    <row r="717" customHeight="1" spans="1:5">
      <c r="A717" t="s">
        <v>12</v>
      </c>
      <c r="B717" t="s">
        <v>317</v>
      </c>
      <c r="C717" t="s">
        <v>390</v>
      </c>
      <c r="D717">
        <v>84694</v>
      </c>
      <c r="E717">
        <v>1</v>
      </c>
    </row>
    <row r="718" customHeight="1" spans="1:5">
      <c r="A718" t="s">
        <v>14</v>
      </c>
      <c r="B718" t="s">
        <v>241</v>
      </c>
      <c r="C718" t="s">
        <v>390</v>
      </c>
      <c r="D718">
        <v>54304</v>
      </c>
      <c r="E718">
        <v>6</v>
      </c>
    </row>
    <row r="719" customHeight="1" spans="1:5">
      <c r="A719" t="s">
        <v>5</v>
      </c>
      <c r="B719" t="s">
        <v>124</v>
      </c>
      <c r="C719" t="s">
        <v>390</v>
      </c>
      <c r="D719">
        <v>90240</v>
      </c>
      <c r="E719">
        <v>8</v>
      </c>
    </row>
    <row r="720" customHeight="1" spans="1:5">
      <c r="A720" t="s">
        <v>10</v>
      </c>
      <c r="B720" t="s">
        <v>214</v>
      </c>
      <c r="C720" t="s">
        <v>390</v>
      </c>
      <c r="D720">
        <v>14872</v>
      </c>
      <c r="E720">
        <v>8</v>
      </c>
    </row>
    <row r="721" customHeight="1" spans="1:5">
      <c r="A721" t="s">
        <v>33</v>
      </c>
      <c r="B721" t="s">
        <v>263</v>
      </c>
      <c r="C721" t="s">
        <v>390</v>
      </c>
      <c r="D721">
        <v>43547</v>
      </c>
      <c r="E721">
        <v>6</v>
      </c>
    </row>
    <row r="722" customHeight="1" spans="1:5">
      <c r="A722" t="s">
        <v>14</v>
      </c>
      <c r="B722" t="s">
        <v>128</v>
      </c>
      <c r="C722" t="s">
        <v>390</v>
      </c>
      <c r="D722">
        <v>64505</v>
      </c>
      <c r="E722">
        <v>3</v>
      </c>
    </row>
    <row r="723" customHeight="1" spans="1:5">
      <c r="A723" t="s">
        <v>10</v>
      </c>
      <c r="B723" t="s">
        <v>328</v>
      </c>
      <c r="C723" t="s">
        <v>390</v>
      </c>
      <c r="D723">
        <v>95509</v>
      </c>
      <c r="E723">
        <v>9</v>
      </c>
    </row>
    <row r="724" customHeight="1" spans="1:5">
      <c r="A724" t="s">
        <v>10</v>
      </c>
      <c r="B724" t="s">
        <v>98</v>
      </c>
      <c r="C724" t="s">
        <v>391</v>
      </c>
      <c r="D724">
        <v>65266</v>
      </c>
      <c r="E724">
        <v>9</v>
      </c>
    </row>
    <row r="725" customHeight="1" spans="1:5">
      <c r="A725" t="s">
        <v>17</v>
      </c>
      <c r="B725" t="s">
        <v>232</v>
      </c>
      <c r="C725" t="s">
        <v>391</v>
      </c>
      <c r="D725">
        <v>18535</v>
      </c>
      <c r="E725">
        <v>5</v>
      </c>
    </row>
    <row r="726" customHeight="1" spans="1:5">
      <c r="A726" t="s">
        <v>17</v>
      </c>
      <c r="B726" t="s">
        <v>231</v>
      </c>
      <c r="C726" t="s">
        <v>391</v>
      </c>
      <c r="D726">
        <v>64808</v>
      </c>
      <c r="E726">
        <v>6</v>
      </c>
    </row>
    <row r="727" customHeight="1" spans="1:5">
      <c r="A727" t="s">
        <v>33</v>
      </c>
      <c r="B727" t="s">
        <v>285</v>
      </c>
      <c r="C727" t="s">
        <v>391</v>
      </c>
      <c r="D727">
        <v>31866</v>
      </c>
      <c r="E727">
        <v>8</v>
      </c>
    </row>
    <row r="728" customHeight="1" spans="1:5">
      <c r="A728" t="s">
        <v>12</v>
      </c>
      <c r="B728" t="s">
        <v>287</v>
      </c>
      <c r="C728" t="s">
        <v>391</v>
      </c>
      <c r="D728">
        <v>44201</v>
      </c>
      <c r="E728">
        <v>4</v>
      </c>
    </row>
    <row r="729" customHeight="1" spans="1:5">
      <c r="A729" t="s">
        <v>30</v>
      </c>
      <c r="B729" t="s">
        <v>70</v>
      </c>
      <c r="C729" t="s">
        <v>391</v>
      </c>
      <c r="D729">
        <v>18233</v>
      </c>
      <c r="E729">
        <v>7</v>
      </c>
    </row>
    <row r="730" customHeight="1" spans="1:5">
      <c r="A730" t="s">
        <v>5</v>
      </c>
      <c r="B730" t="s">
        <v>58</v>
      </c>
      <c r="C730" t="s">
        <v>392</v>
      </c>
      <c r="D730">
        <v>20597</v>
      </c>
      <c r="E730">
        <v>3</v>
      </c>
    </row>
    <row r="731" customHeight="1" spans="1:5">
      <c r="A731" t="s">
        <v>17</v>
      </c>
      <c r="B731" t="s">
        <v>296</v>
      </c>
      <c r="C731" t="s">
        <v>393</v>
      </c>
      <c r="D731">
        <v>89913</v>
      </c>
      <c r="E731">
        <v>5</v>
      </c>
    </row>
    <row r="732" customHeight="1" spans="1:5">
      <c r="A732" t="s">
        <v>12</v>
      </c>
      <c r="B732" t="s">
        <v>15</v>
      </c>
      <c r="C732" t="s">
        <v>394</v>
      </c>
      <c r="D732">
        <v>22449</v>
      </c>
      <c r="E732">
        <v>7</v>
      </c>
    </row>
    <row r="733" customHeight="1" spans="1:5">
      <c r="A733" t="s">
        <v>35</v>
      </c>
      <c r="B733" t="s">
        <v>267</v>
      </c>
      <c r="C733" t="s">
        <v>394</v>
      </c>
      <c r="D733">
        <v>61007</v>
      </c>
      <c r="E733">
        <v>7</v>
      </c>
    </row>
    <row r="734" customHeight="1" spans="1:5">
      <c r="A734" t="s">
        <v>48</v>
      </c>
      <c r="B734" t="s">
        <v>41</v>
      </c>
      <c r="C734" t="s">
        <v>394</v>
      </c>
      <c r="D734">
        <v>26567</v>
      </c>
      <c r="E734">
        <v>2</v>
      </c>
    </row>
    <row r="735" customHeight="1" spans="1:5">
      <c r="A735" t="s">
        <v>17</v>
      </c>
      <c r="B735" t="s">
        <v>43</v>
      </c>
      <c r="C735" t="s">
        <v>395</v>
      </c>
      <c r="D735">
        <v>65284</v>
      </c>
      <c r="E735">
        <v>0</v>
      </c>
    </row>
    <row r="736" customHeight="1" spans="1:5">
      <c r="A736" t="s">
        <v>48</v>
      </c>
      <c r="B736" t="s">
        <v>328</v>
      </c>
      <c r="C736" t="s">
        <v>395</v>
      </c>
      <c r="D736">
        <v>30982</v>
      </c>
      <c r="E736">
        <v>7</v>
      </c>
    </row>
    <row r="737" customHeight="1" spans="1:5">
      <c r="A737" t="s">
        <v>10</v>
      </c>
      <c r="B737" t="s">
        <v>396</v>
      </c>
      <c r="C737" t="s">
        <v>395</v>
      </c>
      <c r="D737">
        <v>85832</v>
      </c>
      <c r="E737">
        <v>4</v>
      </c>
    </row>
    <row r="738" customHeight="1" spans="1:5">
      <c r="A738" t="s">
        <v>12</v>
      </c>
      <c r="B738" t="s">
        <v>263</v>
      </c>
      <c r="C738" t="s">
        <v>395</v>
      </c>
      <c r="D738">
        <v>54607</v>
      </c>
      <c r="E738">
        <v>3</v>
      </c>
    </row>
    <row r="739" customHeight="1" spans="1:5">
      <c r="A739" t="s">
        <v>19</v>
      </c>
      <c r="B739" t="s">
        <v>215</v>
      </c>
      <c r="C739" t="s">
        <v>395</v>
      </c>
      <c r="D739">
        <v>22774</v>
      </c>
      <c r="E739">
        <v>5</v>
      </c>
    </row>
    <row r="740" customHeight="1" spans="1:5">
      <c r="A740" t="s">
        <v>12</v>
      </c>
      <c r="B740" t="s">
        <v>202</v>
      </c>
      <c r="C740" t="s">
        <v>395</v>
      </c>
      <c r="D740">
        <v>88798</v>
      </c>
      <c r="E740">
        <v>1</v>
      </c>
    </row>
    <row r="741" customHeight="1" spans="1:5">
      <c r="A741" t="s">
        <v>21</v>
      </c>
      <c r="B741" t="s">
        <v>289</v>
      </c>
      <c r="C741" t="s">
        <v>395</v>
      </c>
      <c r="D741">
        <v>39840</v>
      </c>
      <c r="E741">
        <v>5</v>
      </c>
    </row>
    <row r="742" customHeight="1" spans="1:5">
      <c r="A742" t="s">
        <v>30</v>
      </c>
      <c r="B742" t="s">
        <v>176</v>
      </c>
      <c r="C742" t="s">
        <v>395</v>
      </c>
      <c r="D742">
        <v>57150</v>
      </c>
      <c r="E742">
        <v>4</v>
      </c>
    </row>
    <row r="743" customHeight="1" spans="1:5">
      <c r="A743" t="s">
        <v>33</v>
      </c>
      <c r="B743" t="s">
        <v>147</v>
      </c>
      <c r="C743" t="s">
        <v>395</v>
      </c>
      <c r="D743">
        <v>27379</v>
      </c>
      <c r="E743">
        <v>8</v>
      </c>
    </row>
    <row r="744" customHeight="1" spans="1:5">
      <c r="A744" t="s">
        <v>8</v>
      </c>
      <c r="B744" t="s">
        <v>114</v>
      </c>
      <c r="C744" t="s">
        <v>395</v>
      </c>
      <c r="D744">
        <v>97480</v>
      </c>
      <c r="E744">
        <v>9</v>
      </c>
    </row>
    <row r="745" customHeight="1" spans="1:5">
      <c r="A745" t="s">
        <v>48</v>
      </c>
      <c r="B745" t="s">
        <v>249</v>
      </c>
      <c r="C745" t="s">
        <v>395</v>
      </c>
      <c r="D745">
        <v>71035</v>
      </c>
      <c r="E745">
        <v>4</v>
      </c>
    </row>
    <row r="746" customHeight="1" spans="1:5">
      <c r="A746" t="s">
        <v>33</v>
      </c>
      <c r="B746" t="s">
        <v>220</v>
      </c>
      <c r="C746" t="s">
        <v>397</v>
      </c>
      <c r="D746">
        <v>75890</v>
      </c>
      <c r="E746">
        <v>6</v>
      </c>
    </row>
    <row r="747" customHeight="1" spans="1:5">
      <c r="A747" t="s">
        <v>14</v>
      </c>
      <c r="B747" t="s">
        <v>201</v>
      </c>
      <c r="C747" t="s">
        <v>397</v>
      </c>
      <c r="D747">
        <v>94924</v>
      </c>
      <c r="E747">
        <v>8</v>
      </c>
    </row>
    <row r="748" customHeight="1" spans="1:5">
      <c r="A748" t="s">
        <v>21</v>
      </c>
      <c r="B748" t="s">
        <v>45</v>
      </c>
      <c r="C748" t="s">
        <v>397</v>
      </c>
      <c r="D748">
        <v>34970</v>
      </c>
      <c r="E748">
        <v>4</v>
      </c>
    </row>
    <row r="749" customHeight="1" spans="1:5">
      <c r="A749" t="s">
        <v>8</v>
      </c>
      <c r="B749" t="s">
        <v>45</v>
      </c>
      <c r="C749" t="s">
        <v>398</v>
      </c>
      <c r="D749">
        <v>49305</v>
      </c>
      <c r="E749">
        <v>9</v>
      </c>
    </row>
    <row r="750" customHeight="1" spans="1:5">
      <c r="A750" t="s">
        <v>30</v>
      </c>
      <c r="B750" t="s">
        <v>156</v>
      </c>
      <c r="C750" t="s">
        <v>398</v>
      </c>
      <c r="D750">
        <v>47176</v>
      </c>
      <c r="E750">
        <v>2</v>
      </c>
    </row>
    <row r="751" customHeight="1" spans="1:5">
      <c r="A751" t="s">
        <v>33</v>
      </c>
      <c r="B751" t="s">
        <v>122</v>
      </c>
      <c r="C751" t="s">
        <v>399</v>
      </c>
      <c r="D751">
        <v>40343</v>
      </c>
      <c r="E751">
        <v>7</v>
      </c>
    </row>
    <row r="752" customHeight="1" spans="1:5">
      <c r="A752" t="s">
        <v>12</v>
      </c>
      <c r="B752" t="s">
        <v>98</v>
      </c>
      <c r="C752" t="s">
        <v>399</v>
      </c>
      <c r="D752">
        <v>15549</v>
      </c>
      <c r="E752">
        <v>4</v>
      </c>
    </row>
    <row r="753" customHeight="1" spans="1:5">
      <c r="A753" t="s">
        <v>10</v>
      </c>
      <c r="B753" t="s">
        <v>147</v>
      </c>
      <c r="C753" t="s">
        <v>399</v>
      </c>
      <c r="D753">
        <v>83599</v>
      </c>
      <c r="E753">
        <v>3</v>
      </c>
    </row>
    <row r="754" customHeight="1" spans="1:5">
      <c r="A754" t="s">
        <v>10</v>
      </c>
      <c r="B754" t="s">
        <v>225</v>
      </c>
      <c r="C754" t="s">
        <v>399</v>
      </c>
      <c r="D754">
        <v>47067</v>
      </c>
      <c r="E754">
        <v>9</v>
      </c>
    </row>
    <row r="755" customHeight="1" spans="1:5">
      <c r="A755" t="s">
        <v>17</v>
      </c>
      <c r="B755" t="s">
        <v>206</v>
      </c>
      <c r="C755" t="s">
        <v>400</v>
      </c>
      <c r="D755">
        <v>32176</v>
      </c>
      <c r="E755">
        <v>4</v>
      </c>
    </row>
    <row r="756" customHeight="1" spans="1:5">
      <c r="A756" t="s">
        <v>14</v>
      </c>
      <c r="B756" t="s">
        <v>281</v>
      </c>
      <c r="C756" t="s">
        <v>400</v>
      </c>
      <c r="D756">
        <v>84073</v>
      </c>
      <c r="E756">
        <v>4</v>
      </c>
    </row>
    <row r="757" customHeight="1" spans="1:5">
      <c r="A757" t="s">
        <v>8</v>
      </c>
      <c r="B757" t="s">
        <v>285</v>
      </c>
      <c r="C757" t="s">
        <v>401</v>
      </c>
      <c r="D757">
        <v>16196</v>
      </c>
      <c r="E757">
        <v>7</v>
      </c>
    </row>
    <row r="758" customHeight="1" spans="1:5">
      <c r="A758" t="s">
        <v>35</v>
      </c>
      <c r="B758" t="s">
        <v>260</v>
      </c>
      <c r="C758" t="s">
        <v>401</v>
      </c>
      <c r="D758">
        <v>90360</v>
      </c>
      <c r="E758">
        <v>6</v>
      </c>
    </row>
    <row r="759" customHeight="1" spans="1:5">
      <c r="A759" t="s">
        <v>14</v>
      </c>
      <c r="B759" t="s">
        <v>158</v>
      </c>
      <c r="C759" t="s">
        <v>401</v>
      </c>
      <c r="D759">
        <v>65566</v>
      </c>
      <c r="E759">
        <v>8</v>
      </c>
    </row>
    <row r="760" customHeight="1" spans="1:5">
      <c r="A760" t="s">
        <v>35</v>
      </c>
      <c r="B760" t="s">
        <v>63</v>
      </c>
      <c r="C760" t="s">
        <v>401</v>
      </c>
      <c r="D760">
        <v>18762</v>
      </c>
      <c r="E760">
        <v>3</v>
      </c>
    </row>
    <row r="761" customHeight="1" spans="1:5">
      <c r="A761" t="s">
        <v>21</v>
      </c>
      <c r="B761" t="s">
        <v>197</v>
      </c>
      <c r="C761" t="s">
        <v>401</v>
      </c>
      <c r="D761">
        <v>29323</v>
      </c>
      <c r="E761">
        <v>5</v>
      </c>
    </row>
    <row r="762" customHeight="1" spans="1:5">
      <c r="A762" t="s">
        <v>19</v>
      </c>
      <c r="B762" t="s">
        <v>81</v>
      </c>
      <c r="C762" t="s">
        <v>401</v>
      </c>
      <c r="D762">
        <v>24215</v>
      </c>
      <c r="E762">
        <v>7</v>
      </c>
    </row>
    <row r="763" customHeight="1" spans="1:5">
      <c r="A763" t="s">
        <v>12</v>
      </c>
      <c r="B763" t="s">
        <v>75</v>
      </c>
      <c r="C763" t="s">
        <v>401</v>
      </c>
      <c r="D763">
        <v>36927</v>
      </c>
      <c r="E763">
        <v>9</v>
      </c>
    </row>
    <row r="764" customHeight="1" spans="1:5">
      <c r="A764" t="s">
        <v>8</v>
      </c>
      <c r="B764" t="s">
        <v>147</v>
      </c>
      <c r="C764" t="s">
        <v>401</v>
      </c>
      <c r="D764">
        <v>87957</v>
      </c>
      <c r="E764">
        <v>2</v>
      </c>
    </row>
    <row r="765" customHeight="1" spans="1:5">
      <c r="A765" t="s">
        <v>33</v>
      </c>
      <c r="B765" t="s">
        <v>111</v>
      </c>
      <c r="C765" t="s">
        <v>402</v>
      </c>
      <c r="D765">
        <v>17143</v>
      </c>
      <c r="E765">
        <v>3</v>
      </c>
    </row>
    <row r="766" customHeight="1" spans="1:5">
      <c r="A766" t="s">
        <v>48</v>
      </c>
      <c r="B766" t="s">
        <v>396</v>
      </c>
      <c r="C766" t="s">
        <v>402</v>
      </c>
      <c r="D766">
        <v>37765</v>
      </c>
      <c r="E766">
        <v>7</v>
      </c>
    </row>
    <row r="767" customHeight="1" spans="1:5">
      <c r="A767" t="s">
        <v>21</v>
      </c>
      <c r="B767" t="s">
        <v>86</v>
      </c>
      <c r="C767" t="s">
        <v>402</v>
      </c>
      <c r="D767">
        <v>86738</v>
      </c>
      <c r="E767">
        <v>8</v>
      </c>
    </row>
    <row r="768" customHeight="1" spans="1:5">
      <c r="A768" t="s">
        <v>17</v>
      </c>
      <c r="B768" t="s">
        <v>13</v>
      </c>
      <c r="C768" t="s">
        <v>402</v>
      </c>
      <c r="D768">
        <v>63594</v>
      </c>
      <c r="E768">
        <v>6</v>
      </c>
    </row>
    <row r="769" customHeight="1" spans="1:5">
      <c r="A769" t="s">
        <v>19</v>
      </c>
      <c r="B769" t="s">
        <v>52</v>
      </c>
      <c r="C769" t="s">
        <v>403</v>
      </c>
      <c r="D769">
        <v>42840</v>
      </c>
      <c r="E769">
        <v>8</v>
      </c>
    </row>
    <row r="770" customHeight="1" spans="1:5">
      <c r="A770" t="s">
        <v>14</v>
      </c>
      <c r="B770" t="s">
        <v>267</v>
      </c>
      <c r="C770" t="s">
        <v>403</v>
      </c>
      <c r="D770">
        <v>36578</v>
      </c>
      <c r="E770">
        <v>7</v>
      </c>
    </row>
    <row r="771" customHeight="1" spans="1:5">
      <c r="A771" t="s">
        <v>12</v>
      </c>
      <c r="B771" t="s">
        <v>50</v>
      </c>
      <c r="C771" t="s">
        <v>403</v>
      </c>
      <c r="D771">
        <v>17742</v>
      </c>
      <c r="E771">
        <v>8</v>
      </c>
    </row>
    <row r="772" customHeight="1" spans="1:5">
      <c r="A772" t="s">
        <v>33</v>
      </c>
      <c r="B772" t="s">
        <v>214</v>
      </c>
      <c r="C772" t="s">
        <v>403</v>
      </c>
      <c r="D772">
        <v>28205</v>
      </c>
      <c r="E772">
        <v>3</v>
      </c>
    </row>
    <row r="773" customHeight="1" spans="1:5">
      <c r="A773" t="s">
        <v>12</v>
      </c>
      <c r="B773" t="s">
        <v>111</v>
      </c>
      <c r="C773" t="s">
        <v>403</v>
      </c>
      <c r="D773">
        <v>51994</v>
      </c>
      <c r="E773">
        <v>8</v>
      </c>
    </row>
    <row r="774" customHeight="1" spans="1:5">
      <c r="A774" t="s">
        <v>21</v>
      </c>
      <c r="B774" t="s">
        <v>396</v>
      </c>
      <c r="C774" t="s">
        <v>403</v>
      </c>
      <c r="D774">
        <v>98655</v>
      </c>
      <c r="E774">
        <v>7</v>
      </c>
    </row>
    <row r="775" customHeight="1" spans="1:5">
      <c r="A775" t="s">
        <v>35</v>
      </c>
      <c r="B775" t="s">
        <v>404</v>
      </c>
      <c r="C775" t="s">
        <v>405</v>
      </c>
      <c r="D775">
        <v>56297</v>
      </c>
      <c r="E775">
        <v>10</v>
      </c>
    </row>
    <row r="776" customHeight="1" spans="1:5">
      <c r="A776" t="s">
        <v>8</v>
      </c>
      <c r="B776" t="s">
        <v>218</v>
      </c>
      <c r="C776" t="s">
        <v>405</v>
      </c>
      <c r="D776">
        <v>97143</v>
      </c>
      <c r="E776">
        <v>5</v>
      </c>
    </row>
    <row r="777" customHeight="1" spans="1:5">
      <c r="A777" t="s">
        <v>48</v>
      </c>
      <c r="B777" t="s">
        <v>226</v>
      </c>
      <c r="C777" t="s">
        <v>406</v>
      </c>
      <c r="D777">
        <v>38181</v>
      </c>
      <c r="E777">
        <v>9</v>
      </c>
    </row>
    <row r="778" customHeight="1" spans="1:5">
      <c r="A778" t="s">
        <v>35</v>
      </c>
      <c r="B778" t="s">
        <v>146</v>
      </c>
      <c r="C778" t="s">
        <v>406</v>
      </c>
      <c r="D778">
        <v>42744</v>
      </c>
      <c r="E778">
        <v>7</v>
      </c>
    </row>
    <row r="779" customHeight="1" spans="1:5">
      <c r="A779" t="s">
        <v>17</v>
      </c>
      <c r="B779" t="s">
        <v>131</v>
      </c>
      <c r="C779" t="s">
        <v>406</v>
      </c>
      <c r="D779">
        <v>87314</v>
      </c>
      <c r="E779">
        <v>9</v>
      </c>
    </row>
    <row r="780" customHeight="1" spans="1:5">
      <c r="A780" t="s">
        <v>35</v>
      </c>
      <c r="B780" t="s">
        <v>192</v>
      </c>
      <c r="C780" t="s">
        <v>406</v>
      </c>
      <c r="D780">
        <v>23232</v>
      </c>
      <c r="E780">
        <v>8</v>
      </c>
    </row>
    <row r="781" customHeight="1" spans="1:5">
      <c r="A781" t="s">
        <v>35</v>
      </c>
      <c r="B781" t="s">
        <v>172</v>
      </c>
      <c r="C781" t="s">
        <v>406</v>
      </c>
      <c r="D781">
        <v>76014</v>
      </c>
      <c r="E781">
        <v>6</v>
      </c>
    </row>
    <row r="782" customHeight="1" spans="1:5">
      <c r="A782" t="s">
        <v>17</v>
      </c>
      <c r="B782" t="s">
        <v>96</v>
      </c>
      <c r="C782" t="s">
        <v>406</v>
      </c>
      <c r="D782">
        <v>37368</v>
      </c>
      <c r="E782">
        <v>7</v>
      </c>
    </row>
    <row r="783" customHeight="1" spans="1:5">
      <c r="A783" t="s">
        <v>12</v>
      </c>
      <c r="B783" t="s">
        <v>25</v>
      </c>
      <c r="C783" t="s">
        <v>406</v>
      </c>
      <c r="D783">
        <v>46137</v>
      </c>
      <c r="E783">
        <v>3</v>
      </c>
    </row>
    <row r="784" customHeight="1" spans="1:5">
      <c r="A784" t="s">
        <v>8</v>
      </c>
      <c r="B784" t="s">
        <v>97</v>
      </c>
      <c r="C784" t="s">
        <v>406</v>
      </c>
      <c r="D784">
        <v>11239</v>
      </c>
      <c r="E784">
        <v>7</v>
      </c>
    </row>
    <row r="785" customHeight="1" spans="1:5">
      <c r="A785" t="s">
        <v>48</v>
      </c>
      <c r="B785" t="s">
        <v>281</v>
      </c>
      <c r="C785" t="s">
        <v>406</v>
      </c>
      <c r="D785">
        <v>14331</v>
      </c>
      <c r="E785">
        <v>8</v>
      </c>
    </row>
    <row r="786" customHeight="1" spans="1:5">
      <c r="A786" t="s">
        <v>21</v>
      </c>
      <c r="B786" t="s">
        <v>87</v>
      </c>
      <c r="C786" t="s">
        <v>406</v>
      </c>
      <c r="D786">
        <v>16109</v>
      </c>
      <c r="E786">
        <v>8</v>
      </c>
    </row>
    <row r="787" customHeight="1" spans="1:5">
      <c r="A787" t="s">
        <v>5</v>
      </c>
      <c r="B787" t="s">
        <v>166</v>
      </c>
      <c r="C787" t="s">
        <v>407</v>
      </c>
      <c r="D787">
        <v>78736</v>
      </c>
      <c r="E787">
        <v>5</v>
      </c>
    </row>
    <row r="788" customHeight="1" spans="1:5">
      <c r="A788" t="s">
        <v>30</v>
      </c>
      <c r="B788" t="s">
        <v>189</v>
      </c>
      <c r="C788" t="s">
        <v>407</v>
      </c>
      <c r="D788">
        <v>99278</v>
      </c>
      <c r="E788">
        <v>5</v>
      </c>
    </row>
    <row r="789" customHeight="1" spans="1:5">
      <c r="A789" t="s">
        <v>21</v>
      </c>
      <c r="B789" t="s">
        <v>50</v>
      </c>
      <c r="C789" t="s">
        <v>407</v>
      </c>
      <c r="D789">
        <v>43239</v>
      </c>
      <c r="E789">
        <v>6</v>
      </c>
    </row>
    <row r="790" customHeight="1" spans="1:5">
      <c r="A790" t="s">
        <v>48</v>
      </c>
      <c r="B790" t="s">
        <v>250</v>
      </c>
      <c r="C790" t="s">
        <v>407</v>
      </c>
      <c r="D790">
        <v>97298</v>
      </c>
      <c r="E790">
        <v>6</v>
      </c>
    </row>
    <row r="791" customHeight="1" spans="1:5">
      <c r="A791" t="s">
        <v>14</v>
      </c>
      <c r="B791" t="s">
        <v>269</v>
      </c>
      <c r="C791" t="s">
        <v>408</v>
      </c>
      <c r="D791">
        <v>94954</v>
      </c>
      <c r="E791">
        <v>6</v>
      </c>
    </row>
    <row r="792" customHeight="1" spans="1:5">
      <c r="A792" t="s">
        <v>5</v>
      </c>
      <c r="B792" t="s">
        <v>168</v>
      </c>
      <c r="C792" t="s">
        <v>408</v>
      </c>
      <c r="D792">
        <v>62939</v>
      </c>
      <c r="E792">
        <v>10</v>
      </c>
    </row>
    <row r="793" customHeight="1" spans="1:5">
      <c r="A793" t="s">
        <v>5</v>
      </c>
      <c r="B793" t="s">
        <v>281</v>
      </c>
      <c r="C793" t="s">
        <v>408</v>
      </c>
      <c r="D793">
        <v>76726</v>
      </c>
      <c r="E793">
        <v>9</v>
      </c>
    </row>
    <row r="794" customHeight="1" spans="1:5">
      <c r="A794" t="s">
        <v>12</v>
      </c>
      <c r="B794" t="s">
        <v>404</v>
      </c>
      <c r="C794" t="s">
        <v>408</v>
      </c>
      <c r="D794">
        <v>85094</v>
      </c>
      <c r="E794">
        <v>7</v>
      </c>
    </row>
    <row r="795" customHeight="1" spans="1:5">
      <c r="A795" t="s">
        <v>5</v>
      </c>
      <c r="B795" t="s">
        <v>120</v>
      </c>
      <c r="C795" t="s">
        <v>408</v>
      </c>
      <c r="D795">
        <v>42283</v>
      </c>
      <c r="E795">
        <v>10</v>
      </c>
    </row>
    <row r="796" customHeight="1" spans="1:5">
      <c r="A796" t="s">
        <v>8</v>
      </c>
      <c r="B796" t="s">
        <v>41</v>
      </c>
      <c r="C796" t="s">
        <v>408</v>
      </c>
      <c r="D796">
        <v>19627</v>
      </c>
      <c r="E796">
        <v>3</v>
      </c>
    </row>
    <row r="797" customHeight="1" spans="1:5">
      <c r="A797" t="s">
        <v>14</v>
      </c>
      <c r="B797" t="s">
        <v>197</v>
      </c>
      <c r="C797" t="s">
        <v>408</v>
      </c>
      <c r="D797">
        <v>94773</v>
      </c>
      <c r="E797">
        <v>4</v>
      </c>
    </row>
    <row r="798" customHeight="1" spans="1:5">
      <c r="A798" t="s">
        <v>35</v>
      </c>
      <c r="B798" t="s">
        <v>281</v>
      </c>
      <c r="C798" t="s">
        <v>408</v>
      </c>
      <c r="D798">
        <v>17377</v>
      </c>
      <c r="E798">
        <v>9</v>
      </c>
    </row>
    <row r="799" customHeight="1" spans="1:5">
      <c r="A799" t="s">
        <v>10</v>
      </c>
      <c r="B799" t="s">
        <v>200</v>
      </c>
      <c r="C799" t="s">
        <v>409</v>
      </c>
      <c r="D799">
        <v>35505</v>
      </c>
      <c r="E799">
        <v>6</v>
      </c>
    </row>
    <row r="800" customHeight="1" spans="1:5">
      <c r="A800" t="s">
        <v>12</v>
      </c>
      <c r="B800" t="s">
        <v>172</v>
      </c>
      <c r="C800" t="s">
        <v>409</v>
      </c>
      <c r="D800">
        <v>10302</v>
      </c>
      <c r="E800">
        <v>4</v>
      </c>
    </row>
    <row r="801" customHeight="1" spans="1:5">
      <c r="A801" t="s">
        <v>5</v>
      </c>
      <c r="B801" t="s">
        <v>37</v>
      </c>
      <c r="C801" t="s">
        <v>409</v>
      </c>
      <c r="D801">
        <v>40882</v>
      </c>
      <c r="E801">
        <v>9</v>
      </c>
    </row>
    <row r="802" customHeight="1" spans="1:5">
      <c r="A802" t="s">
        <v>19</v>
      </c>
      <c r="B802" t="s">
        <v>285</v>
      </c>
      <c r="C802" t="s">
        <v>410</v>
      </c>
      <c r="D802">
        <v>11998</v>
      </c>
      <c r="E802">
        <v>8</v>
      </c>
    </row>
    <row r="803" customHeight="1" spans="1:5">
      <c r="A803" t="s">
        <v>5</v>
      </c>
      <c r="B803" t="s">
        <v>88</v>
      </c>
      <c r="C803" t="s">
        <v>410</v>
      </c>
      <c r="D803">
        <v>62393</v>
      </c>
      <c r="E803">
        <v>9</v>
      </c>
    </row>
    <row r="804" customHeight="1" spans="1:5">
      <c r="A804" t="s">
        <v>17</v>
      </c>
      <c r="B804" t="s">
        <v>256</v>
      </c>
      <c r="C804" t="s">
        <v>410</v>
      </c>
      <c r="D804">
        <v>70228</v>
      </c>
      <c r="E804">
        <v>9</v>
      </c>
    </row>
    <row r="805" customHeight="1" spans="1:5">
      <c r="A805" t="s">
        <v>33</v>
      </c>
      <c r="B805" t="s">
        <v>124</v>
      </c>
      <c r="C805" t="s">
        <v>410</v>
      </c>
      <c r="D805">
        <v>26123</v>
      </c>
      <c r="E805">
        <v>9</v>
      </c>
    </row>
    <row r="806" customHeight="1" spans="1:5">
      <c r="A806" t="s">
        <v>33</v>
      </c>
      <c r="B806" t="s">
        <v>172</v>
      </c>
      <c r="C806" t="s">
        <v>410</v>
      </c>
      <c r="D806">
        <v>72593</v>
      </c>
      <c r="E806">
        <v>4</v>
      </c>
    </row>
    <row r="807" customHeight="1" spans="1:5">
      <c r="A807" t="s">
        <v>10</v>
      </c>
      <c r="B807" t="s">
        <v>271</v>
      </c>
      <c r="C807" t="s">
        <v>410</v>
      </c>
      <c r="D807">
        <v>45472</v>
      </c>
      <c r="E807">
        <v>9</v>
      </c>
    </row>
    <row r="808" customHeight="1" spans="1:5">
      <c r="A808" t="s">
        <v>35</v>
      </c>
      <c r="B808" t="s">
        <v>289</v>
      </c>
      <c r="C808" t="s">
        <v>410</v>
      </c>
      <c r="D808">
        <v>87527</v>
      </c>
      <c r="E808">
        <v>7</v>
      </c>
    </row>
    <row r="809" customHeight="1" spans="1:5">
      <c r="A809" t="s">
        <v>48</v>
      </c>
      <c r="B809" t="s">
        <v>220</v>
      </c>
      <c r="C809" t="s">
        <v>410</v>
      </c>
      <c r="D809">
        <v>67321</v>
      </c>
      <c r="E809">
        <v>9</v>
      </c>
    </row>
    <row r="810" customHeight="1" spans="1:5">
      <c r="A810" t="s">
        <v>5</v>
      </c>
      <c r="B810" t="s">
        <v>162</v>
      </c>
      <c r="C810" t="s">
        <v>410</v>
      </c>
      <c r="D810">
        <v>30126</v>
      </c>
      <c r="E810">
        <v>9</v>
      </c>
    </row>
    <row r="811" customHeight="1" spans="1:5">
      <c r="A811" t="s">
        <v>33</v>
      </c>
      <c r="B811" t="s">
        <v>94</v>
      </c>
      <c r="C811" t="s">
        <v>410</v>
      </c>
      <c r="D811">
        <v>65130</v>
      </c>
      <c r="E811">
        <v>5</v>
      </c>
    </row>
    <row r="812" customHeight="1" spans="1:5">
      <c r="A812" t="s">
        <v>14</v>
      </c>
      <c r="B812" t="s">
        <v>82</v>
      </c>
      <c r="C812" t="s">
        <v>410</v>
      </c>
      <c r="D812">
        <v>29750</v>
      </c>
      <c r="E812">
        <v>6</v>
      </c>
    </row>
    <row r="813" customHeight="1" spans="1:5">
      <c r="A813" t="s">
        <v>48</v>
      </c>
      <c r="B813" t="s">
        <v>22</v>
      </c>
      <c r="C813" t="s">
        <v>411</v>
      </c>
      <c r="D813">
        <v>60339</v>
      </c>
      <c r="E813">
        <v>9</v>
      </c>
    </row>
    <row r="814" customHeight="1" spans="1:5">
      <c r="A814" t="s">
        <v>48</v>
      </c>
      <c r="B814" t="s">
        <v>107</v>
      </c>
      <c r="C814" t="s">
        <v>411</v>
      </c>
      <c r="D814">
        <v>73048</v>
      </c>
      <c r="E814">
        <v>4</v>
      </c>
    </row>
    <row r="815" customHeight="1" spans="1:5">
      <c r="A815" t="s">
        <v>33</v>
      </c>
      <c r="B815" t="s">
        <v>109</v>
      </c>
      <c r="C815" t="s">
        <v>411</v>
      </c>
      <c r="D815">
        <v>22352</v>
      </c>
      <c r="E815">
        <v>4</v>
      </c>
    </row>
    <row r="816" customHeight="1" spans="1:5">
      <c r="A816" t="s">
        <v>21</v>
      </c>
      <c r="B816" t="s">
        <v>271</v>
      </c>
      <c r="C816" t="s">
        <v>411</v>
      </c>
      <c r="D816">
        <v>27909</v>
      </c>
      <c r="E816">
        <v>6</v>
      </c>
    </row>
    <row r="817" customHeight="1" spans="1:5">
      <c r="A817" t="s">
        <v>48</v>
      </c>
      <c r="B817" t="s">
        <v>22</v>
      </c>
      <c r="C817" t="s">
        <v>411</v>
      </c>
      <c r="D817">
        <v>41740</v>
      </c>
      <c r="E817">
        <v>10</v>
      </c>
    </row>
    <row r="818" customHeight="1" spans="1:5">
      <c r="A818" t="s">
        <v>35</v>
      </c>
      <c r="B818" t="s">
        <v>6</v>
      </c>
      <c r="C818" t="s">
        <v>412</v>
      </c>
      <c r="D818">
        <v>65143</v>
      </c>
      <c r="E818">
        <v>10</v>
      </c>
    </row>
    <row r="819" customHeight="1" spans="1:5">
      <c r="A819" t="s">
        <v>35</v>
      </c>
      <c r="B819" t="s">
        <v>281</v>
      </c>
      <c r="C819" t="s">
        <v>413</v>
      </c>
      <c r="D819">
        <v>58166</v>
      </c>
      <c r="E819">
        <v>9</v>
      </c>
    </row>
    <row r="820" customHeight="1" spans="1:5">
      <c r="A820" t="s">
        <v>17</v>
      </c>
      <c r="B820" t="s">
        <v>23</v>
      </c>
      <c r="C820" t="s">
        <v>413</v>
      </c>
      <c r="D820">
        <v>17816</v>
      </c>
      <c r="E820">
        <v>7</v>
      </c>
    </row>
    <row r="821" customHeight="1" spans="1:5">
      <c r="A821" t="s">
        <v>35</v>
      </c>
      <c r="B821" t="s">
        <v>109</v>
      </c>
      <c r="C821" t="s">
        <v>414</v>
      </c>
      <c r="D821">
        <v>39271</v>
      </c>
      <c r="E821">
        <v>4</v>
      </c>
    </row>
    <row r="822" customHeight="1" spans="1:5">
      <c r="A822" t="s">
        <v>21</v>
      </c>
      <c r="B822" t="s">
        <v>6</v>
      </c>
      <c r="C822" t="s">
        <v>414</v>
      </c>
      <c r="D822">
        <v>76088</v>
      </c>
      <c r="E822">
        <v>10</v>
      </c>
    </row>
    <row r="823" customHeight="1" spans="1:5">
      <c r="A823" t="s">
        <v>48</v>
      </c>
      <c r="B823" t="s">
        <v>13</v>
      </c>
      <c r="C823" t="s">
        <v>414</v>
      </c>
      <c r="D823">
        <v>36807</v>
      </c>
      <c r="E823">
        <v>5</v>
      </c>
    </row>
    <row r="824" customHeight="1" spans="1:5">
      <c r="A824" t="s">
        <v>17</v>
      </c>
      <c r="B824" t="s">
        <v>49</v>
      </c>
      <c r="C824" t="s">
        <v>414</v>
      </c>
      <c r="D824">
        <v>85187</v>
      </c>
      <c r="E824">
        <v>8</v>
      </c>
    </row>
    <row r="825" customHeight="1" spans="1:5">
      <c r="A825" t="s">
        <v>17</v>
      </c>
      <c r="B825" t="s">
        <v>201</v>
      </c>
      <c r="C825" t="s">
        <v>414</v>
      </c>
      <c r="D825">
        <v>16203</v>
      </c>
      <c r="E825">
        <v>10</v>
      </c>
    </row>
    <row r="826" customHeight="1" spans="1:5">
      <c r="A826" t="s">
        <v>35</v>
      </c>
      <c r="B826" t="s">
        <v>220</v>
      </c>
      <c r="C826" t="s">
        <v>415</v>
      </c>
      <c r="D826">
        <v>86922</v>
      </c>
      <c r="E826">
        <v>8</v>
      </c>
    </row>
    <row r="827" customHeight="1" spans="1:5">
      <c r="A827" t="s">
        <v>10</v>
      </c>
      <c r="B827" t="s">
        <v>271</v>
      </c>
      <c r="C827" t="s">
        <v>415</v>
      </c>
      <c r="D827">
        <v>88949</v>
      </c>
      <c r="E827">
        <v>6</v>
      </c>
    </row>
    <row r="828" customHeight="1" spans="1:5">
      <c r="A828" t="s">
        <v>19</v>
      </c>
      <c r="B828" t="s">
        <v>416</v>
      </c>
      <c r="C828" t="s">
        <v>415</v>
      </c>
      <c r="D828">
        <v>39704</v>
      </c>
      <c r="E828">
        <v>8</v>
      </c>
    </row>
    <row r="829" customHeight="1" spans="1:5">
      <c r="A829" t="s">
        <v>17</v>
      </c>
      <c r="B829" t="s">
        <v>77</v>
      </c>
      <c r="C829" t="s">
        <v>415</v>
      </c>
      <c r="D829">
        <v>62920</v>
      </c>
      <c r="E829">
        <v>8</v>
      </c>
    </row>
    <row r="830" customHeight="1" spans="1:5">
      <c r="A830" t="s">
        <v>35</v>
      </c>
      <c r="B830" t="s">
        <v>9</v>
      </c>
      <c r="C830" t="s">
        <v>415</v>
      </c>
      <c r="D830">
        <v>92567</v>
      </c>
      <c r="E830">
        <v>3</v>
      </c>
    </row>
    <row r="831" customHeight="1" spans="1:5">
      <c r="A831" t="s">
        <v>8</v>
      </c>
      <c r="B831" t="s">
        <v>307</v>
      </c>
      <c r="C831" t="s">
        <v>415</v>
      </c>
      <c r="D831">
        <v>72722</v>
      </c>
      <c r="E831">
        <v>1</v>
      </c>
    </row>
    <row r="832" customHeight="1" spans="1:5">
      <c r="A832" t="s">
        <v>10</v>
      </c>
      <c r="B832" t="s">
        <v>117</v>
      </c>
      <c r="C832" t="s">
        <v>415</v>
      </c>
      <c r="D832">
        <v>16890</v>
      </c>
      <c r="E832">
        <v>7</v>
      </c>
    </row>
    <row r="833" customHeight="1" spans="1:5">
      <c r="A833" t="s">
        <v>19</v>
      </c>
      <c r="B833" t="s">
        <v>55</v>
      </c>
      <c r="C833" t="s">
        <v>417</v>
      </c>
      <c r="D833">
        <v>52604</v>
      </c>
      <c r="E833">
        <v>6</v>
      </c>
    </row>
    <row r="834" customHeight="1" spans="1:5">
      <c r="A834" t="s">
        <v>5</v>
      </c>
      <c r="B834" t="s">
        <v>396</v>
      </c>
      <c r="C834" t="s">
        <v>417</v>
      </c>
      <c r="D834">
        <v>86760</v>
      </c>
      <c r="E834">
        <v>0</v>
      </c>
    </row>
    <row r="835" customHeight="1" spans="1:5">
      <c r="A835" t="s">
        <v>35</v>
      </c>
      <c r="B835" t="s">
        <v>131</v>
      </c>
      <c r="C835" t="s">
        <v>417</v>
      </c>
      <c r="D835">
        <v>66594</v>
      </c>
      <c r="E835">
        <v>7</v>
      </c>
    </row>
    <row r="836" customHeight="1" spans="1:5">
      <c r="A836" t="s">
        <v>5</v>
      </c>
      <c r="B836" t="s">
        <v>6</v>
      </c>
      <c r="C836" t="s">
        <v>418</v>
      </c>
      <c r="D836">
        <v>74766</v>
      </c>
      <c r="E836">
        <v>10</v>
      </c>
    </row>
    <row r="837" customHeight="1" spans="1:5">
      <c r="A837" t="s">
        <v>17</v>
      </c>
      <c r="B837" t="s">
        <v>237</v>
      </c>
      <c r="C837" t="s">
        <v>418</v>
      </c>
      <c r="D837">
        <v>44609</v>
      </c>
      <c r="E837">
        <v>0</v>
      </c>
    </row>
    <row r="838" customHeight="1" spans="1:5">
      <c r="A838" t="s">
        <v>12</v>
      </c>
      <c r="B838" t="s">
        <v>103</v>
      </c>
      <c r="C838" t="s">
        <v>419</v>
      </c>
      <c r="D838">
        <v>74387</v>
      </c>
      <c r="E838">
        <v>8</v>
      </c>
    </row>
    <row r="839" customHeight="1" spans="1:5">
      <c r="A839" t="s">
        <v>35</v>
      </c>
      <c r="B839" t="s">
        <v>239</v>
      </c>
      <c r="C839" t="s">
        <v>419</v>
      </c>
      <c r="D839">
        <v>19755</v>
      </c>
      <c r="E839">
        <v>9</v>
      </c>
    </row>
    <row r="840" customHeight="1" spans="1:5">
      <c r="A840" t="s">
        <v>21</v>
      </c>
      <c r="B840" t="s">
        <v>89</v>
      </c>
      <c r="C840" t="s">
        <v>419</v>
      </c>
      <c r="D840">
        <v>40065</v>
      </c>
      <c r="E840">
        <v>9</v>
      </c>
    </row>
    <row r="841" customHeight="1" spans="1:5">
      <c r="A841" t="s">
        <v>8</v>
      </c>
      <c r="B841" t="s">
        <v>50</v>
      </c>
      <c r="C841" t="s">
        <v>420</v>
      </c>
      <c r="D841">
        <v>50797</v>
      </c>
      <c r="E841">
        <v>10</v>
      </c>
    </row>
    <row r="842" customHeight="1" spans="1:5">
      <c r="A842" t="s">
        <v>33</v>
      </c>
      <c r="B842" t="s">
        <v>131</v>
      </c>
      <c r="C842" t="s">
        <v>420</v>
      </c>
      <c r="D842">
        <v>71162</v>
      </c>
      <c r="E842">
        <v>8</v>
      </c>
    </row>
    <row r="843" customHeight="1" spans="1:5">
      <c r="A843" t="s">
        <v>5</v>
      </c>
      <c r="B843" t="s">
        <v>139</v>
      </c>
      <c r="C843" t="s">
        <v>420</v>
      </c>
      <c r="D843">
        <v>35943</v>
      </c>
      <c r="E843">
        <v>4</v>
      </c>
    </row>
    <row r="844" customHeight="1" spans="1:5">
      <c r="A844" t="s">
        <v>21</v>
      </c>
      <c r="B844" t="s">
        <v>284</v>
      </c>
      <c r="C844" t="s">
        <v>420</v>
      </c>
      <c r="D844">
        <v>71265</v>
      </c>
      <c r="E844">
        <v>3</v>
      </c>
    </row>
    <row r="845" customHeight="1" spans="1:5">
      <c r="A845" t="s">
        <v>48</v>
      </c>
      <c r="B845" t="s">
        <v>13</v>
      </c>
      <c r="C845" t="s">
        <v>420</v>
      </c>
      <c r="D845">
        <v>97922</v>
      </c>
      <c r="E845">
        <v>8</v>
      </c>
    </row>
    <row r="846" customHeight="1" spans="1:5">
      <c r="A846" t="s">
        <v>10</v>
      </c>
      <c r="B846" t="s">
        <v>287</v>
      </c>
      <c r="C846" t="s">
        <v>420</v>
      </c>
      <c r="D846">
        <v>27835</v>
      </c>
      <c r="E846">
        <v>4</v>
      </c>
    </row>
    <row r="847" customHeight="1" spans="1:5">
      <c r="A847" t="s">
        <v>10</v>
      </c>
      <c r="B847" t="s">
        <v>292</v>
      </c>
      <c r="C847" t="s">
        <v>420</v>
      </c>
      <c r="D847">
        <v>31408</v>
      </c>
      <c r="E847">
        <v>5</v>
      </c>
    </row>
    <row r="848" customHeight="1" spans="1:5">
      <c r="A848" t="s">
        <v>21</v>
      </c>
      <c r="B848" t="s">
        <v>226</v>
      </c>
      <c r="C848" t="s">
        <v>420</v>
      </c>
      <c r="D848">
        <v>76492</v>
      </c>
      <c r="E848">
        <v>2</v>
      </c>
    </row>
    <row r="849" customHeight="1" spans="1:5">
      <c r="A849" t="s">
        <v>19</v>
      </c>
      <c r="B849" t="s">
        <v>114</v>
      </c>
      <c r="C849" t="s">
        <v>420</v>
      </c>
      <c r="D849">
        <v>17254</v>
      </c>
      <c r="E849">
        <v>8</v>
      </c>
    </row>
    <row r="850" customHeight="1" spans="1:5">
      <c r="A850" t="s">
        <v>48</v>
      </c>
      <c r="B850" t="s">
        <v>80</v>
      </c>
      <c r="C850" t="s">
        <v>420</v>
      </c>
      <c r="D850">
        <v>81896</v>
      </c>
      <c r="E850">
        <v>4</v>
      </c>
    </row>
    <row r="851" customHeight="1" spans="1:5">
      <c r="A851" t="s">
        <v>19</v>
      </c>
      <c r="B851" t="s">
        <v>34</v>
      </c>
      <c r="C851" t="s">
        <v>420</v>
      </c>
      <c r="D851">
        <v>61900</v>
      </c>
      <c r="E851">
        <v>4</v>
      </c>
    </row>
    <row r="852" customHeight="1" spans="1:5">
      <c r="A852" t="s">
        <v>48</v>
      </c>
      <c r="B852" t="s">
        <v>421</v>
      </c>
      <c r="C852" t="s">
        <v>420</v>
      </c>
      <c r="D852">
        <v>84706</v>
      </c>
      <c r="E852">
        <v>9</v>
      </c>
    </row>
    <row r="853" customHeight="1" spans="1:5">
      <c r="A853" t="s">
        <v>30</v>
      </c>
      <c r="B853" t="s">
        <v>292</v>
      </c>
      <c r="C853" t="s">
        <v>420</v>
      </c>
      <c r="D853">
        <v>43417</v>
      </c>
      <c r="E853">
        <v>5</v>
      </c>
    </row>
    <row r="854" customHeight="1" spans="1:5">
      <c r="A854" t="s">
        <v>21</v>
      </c>
      <c r="B854" t="s">
        <v>113</v>
      </c>
      <c r="C854" t="s">
        <v>420</v>
      </c>
      <c r="D854">
        <v>94887</v>
      </c>
      <c r="E854">
        <v>0</v>
      </c>
    </row>
    <row r="855" customHeight="1" spans="1:5">
      <c r="A855" t="s">
        <v>10</v>
      </c>
      <c r="B855" t="s">
        <v>304</v>
      </c>
      <c r="C855" t="s">
        <v>420</v>
      </c>
      <c r="D855">
        <v>57887</v>
      </c>
      <c r="E855">
        <v>8</v>
      </c>
    </row>
    <row r="856" customHeight="1" spans="1:5">
      <c r="A856" t="s">
        <v>35</v>
      </c>
      <c r="B856" t="s">
        <v>110</v>
      </c>
      <c r="C856" t="s">
        <v>422</v>
      </c>
      <c r="D856">
        <v>16432</v>
      </c>
      <c r="E856">
        <v>1</v>
      </c>
    </row>
    <row r="857" customHeight="1" spans="1:5">
      <c r="A857" t="s">
        <v>12</v>
      </c>
      <c r="B857" t="s">
        <v>200</v>
      </c>
      <c r="C857" t="s">
        <v>422</v>
      </c>
      <c r="D857">
        <v>29873</v>
      </c>
      <c r="E857">
        <v>10</v>
      </c>
    </row>
    <row r="858" customHeight="1" spans="1:5">
      <c r="A858" t="s">
        <v>8</v>
      </c>
      <c r="B858" t="s">
        <v>189</v>
      </c>
      <c r="C858" t="s">
        <v>422</v>
      </c>
      <c r="D858">
        <v>54343</v>
      </c>
      <c r="E858">
        <v>4</v>
      </c>
    </row>
    <row r="859" customHeight="1" spans="1:5">
      <c r="A859" t="s">
        <v>12</v>
      </c>
      <c r="B859" t="s">
        <v>96</v>
      </c>
      <c r="C859" t="s">
        <v>422</v>
      </c>
      <c r="D859">
        <v>39193</v>
      </c>
      <c r="E859">
        <v>2</v>
      </c>
    </row>
    <row r="860" customHeight="1" spans="1:5">
      <c r="A860" t="s">
        <v>12</v>
      </c>
      <c r="B860" t="s">
        <v>117</v>
      </c>
      <c r="C860" t="s">
        <v>422</v>
      </c>
      <c r="D860">
        <v>88583</v>
      </c>
      <c r="E860">
        <v>3</v>
      </c>
    </row>
    <row r="861" customHeight="1" spans="1:5">
      <c r="A861" t="s">
        <v>35</v>
      </c>
      <c r="B861" t="s">
        <v>52</v>
      </c>
      <c r="C861" t="s">
        <v>422</v>
      </c>
      <c r="D861">
        <v>18044</v>
      </c>
      <c r="E861">
        <v>8</v>
      </c>
    </row>
    <row r="862" customHeight="1" spans="1:5">
      <c r="A862" t="s">
        <v>10</v>
      </c>
      <c r="B862" t="s">
        <v>287</v>
      </c>
      <c r="C862" t="s">
        <v>422</v>
      </c>
      <c r="D862">
        <v>32392</v>
      </c>
      <c r="E862">
        <v>6</v>
      </c>
    </row>
    <row r="863" customHeight="1" spans="1:5">
      <c r="A863" t="s">
        <v>10</v>
      </c>
      <c r="B863" t="s">
        <v>110</v>
      </c>
      <c r="C863" t="s">
        <v>422</v>
      </c>
      <c r="D863">
        <v>43606</v>
      </c>
      <c r="E863">
        <v>3</v>
      </c>
    </row>
    <row r="864" customHeight="1" spans="1:5">
      <c r="A864" t="s">
        <v>48</v>
      </c>
      <c r="B864" t="s">
        <v>64</v>
      </c>
      <c r="C864" t="s">
        <v>423</v>
      </c>
      <c r="D864">
        <v>48198</v>
      </c>
      <c r="E864">
        <v>6</v>
      </c>
    </row>
    <row r="865" customHeight="1" spans="1:5">
      <c r="A865" t="s">
        <v>35</v>
      </c>
      <c r="B865" t="s">
        <v>40</v>
      </c>
      <c r="C865" t="s">
        <v>423</v>
      </c>
      <c r="D865">
        <v>61039</v>
      </c>
      <c r="E865">
        <v>7</v>
      </c>
    </row>
    <row r="866" customHeight="1" spans="1:5">
      <c r="A866" t="s">
        <v>8</v>
      </c>
      <c r="B866" t="s">
        <v>72</v>
      </c>
      <c r="C866" t="s">
        <v>423</v>
      </c>
      <c r="D866">
        <v>74798</v>
      </c>
      <c r="E866">
        <v>5</v>
      </c>
    </row>
    <row r="867" customHeight="1" spans="1:5">
      <c r="A867" t="s">
        <v>8</v>
      </c>
      <c r="B867" t="s">
        <v>265</v>
      </c>
      <c r="C867" t="s">
        <v>424</v>
      </c>
      <c r="D867">
        <v>38683</v>
      </c>
      <c r="E867">
        <v>7</v>
      </c>
    </row>
    <row r="868" customHeight="1" spans="1:5">
      <c r="A868" t="s">
        <v>10</v>
      </c>
      <c r="B868" t="s">
        <v>64</v>
      </c>
      <c r="C868" t="s">
        <v>424</v>
      </c>
      <c r="D868">
        <v>99751</v>
      </c>
      <c r="E868">
        <v>3</v>
      </c>
    </row>
    <row r="869" customHeight="1" spans="1:5">
      <c r="A869" t="s">
        <v>14</v>
      </c>
      <c r="B869" t="s">
        <v>91</v>
      </c>
      <c r="C869" t="s">
        <v>424</v>
      </c>
      <c r="D869">
        <v>35914</v>
      </c>
      <c r="E869">
        <v>6</v>
      </c>
    </row>
    <row r="870" customHeight="1" spans="1:5">
      <c r="A870" t="s">
        <v>10</v>
      </c>
      <c r="B870" t="s">
        <v>185</v>
      </c>
      <c r="C870" t="s">
        <v>425</v>
      </c>
      <c r="D870">
        <v>22043</v>
      </c>
      <c r="E870">
        <v>6</v>
      </c>
    </row>
    <row r="871" customHeight="1" spans="1:5">
      <c r="A871" t="s">
        <v>33</v>
      </c>
      <c r="B871" t="s">
        <v>156</v>
      </c>
      <c r="C871" t="s">
        <v>425</v>
      </c>
      <c r="D871">
        <v>25037</v>
      </c>
      <c r="E871">
        <v>6</v>
      </c>
    </row>
    <row r="872" customHeight="1" spans="1:5">
      <c r="A872" t="s">
        <v>33</v>
      </c>
      <c r="B872" t="s">
        <v>44</v>
      </c>
      <c r="C872" t="s">
        <v>425</v>
      </c>
      <c r="D872">
        <v>58790</v>
      </c>
      <c r="E872">
        <v>4</v>
      </c>
    </row>
    <row r="873" customHeight="1" spans="1:5">
      <c r="A873" t="s">
        <v>12</v>
      </c>
      <c r="B873" t="s">
        <v>142</v>
      </c>
      <c r="C873" t="s">
        <v>426</v>
      </c>
      <c r="D873">
        <v>72913</v>
      </c>
      <c r="E873">
        <v>10</v>
      </c>
    </row>
    <row r="874" customHeight="1" spans="1:5">
      <c r="A874" t="s">
        <v>5</v>
      </c>
      <c r="B874" t="s">
        <v>92</v>
      </c>
      <c r="C874" t="s">
        <v>426</v>
      </c>
      <c r="D874">
        <v>29688</v>
      </c>
      <c r="E874">
        <v>7</v>
      </c>
    </row>
    <row r="875" customHeight="1" spans="1:5">
      <c r="A875" t="s">
        <v>8</v>
      </c>
      <c r="B875" t="s">
        <v>250</v>
      </c>
      <c r="C875" t="s">
        <v>426</v>
      </c>
      <c r="D875">
        <v>92219</v>
      </c>
      <c r="E875">
        <v>6</v>
      </c>
    </row>
    <row r="876" customHeight="1" spans="1:5">
      <c r="A876" t="s">
        <v>5</v>
      </c>
      <c r="B876" t="s">
        <v>86</v>
      </c>
      <c r="C876" t="s">
        <v>426</v>
      </c>
      <c r="D876">
        <v>90395</v>
      </c>
      <c r="E876">
        <v>8</v>
      </c>
    </row>
    <row r="877" customHeight="1" spans="1:5">
      <c r="A877" t="s">
        <v>19</v>
      </c>
      <c r="B877" t="s">
        <v>427</v>
      </c>
      <c r="C877" t="s">
        <v>428</v>
      </c>
      <c r="D877">
        <v>81662</v>
      </c>
      <c r="E877">
        <v>7</v>
      </c>
    </row>
    <row r="878" customHeight="1" spans="1:5">
      <c r="A878" t="s">
        <v>14</v>
      </c>
      <c r="B878" t="s">
        <v>241</v>
      </c>
      <c r="C878" t="s">
        <v>428</v>
      </c>
      <c r="D878">
        <v>75540</v>
      </c>
      <c r="E878">
        <v>3</v>
      </c>
    </row>
    <row r="879" customHeight="1" spans="1:5">
      <c r="A879" t="s">
        <v>35</v>
      </c>
      <c r="B879" t="s">
        <v>368</v>
      </c>
      <c r="C879" t="s">
        <v>429</v>
      </c>
      <c r="D879">
        <v>29913</v>
      </c>
      <c r="E879">
        <v>6</v>
      </c>
    </row>
    <row r="880" customHeight="1" spans="1:5">
      <c r="A880" t="s">
        <v>17</v>
      </c>
      <c r="B880" t="s">
        <v>72</v>
      </c>
      <c r="C880" t="s">
        <v>429</v>
      </c>
      <c r="D880">
        <v>52389</v>
      </c>
      <c r="E880">
        <v>7</v>
      </c>
    </row>
    <row r="881" customHeight="1" spans="1:5">
      <c r="A881" t="s">
        <v>48</v>
      </c>
      <c r="B881" t="s">
        <v>20</v>
      </c>
      <c r="C881" t="s">
        <v>429</v>
      </c>
      <c r="D881">
        <v>68408</v>
      </c>
      <c r="E881">
        <v>9</v>
      </c>
    </row>
    <row r="882" customHeight="1" spans="1:5">
      <c r="A882" t="s">
        <v>33</v>
      </c>
      <c r="B882" t="s">
        <v>31</v>
      </c>
      <c r="C882" t="s">
        <v>429</v>
      </c>
      <c r="D882">
        <v>79404</v>
      </c>
      <c r="E882">
        <v>1</v>
      </c>
    </row>
    <row r="883" customHeight="1" spans="1:5">
      <c r="A883" t="s">
        <v>33</v>
      </c>
      <c r="B883" t="s">
        <v>86</v>
      </c>
      <c r="C883" t="s">
        <v>430</v>
      </c>
      <c r="D883">
        <v>65703</v>
      </c>
      <c r="E883">
        <v>7</v>
      </c>
    </row>
    <row r="884" customHeight="1" spans="1:5">
      <c r="A884" t="s">
        <v>21</v>
      </c>
      <c r="B884" t="s">
        <v>192</v>
      </c>
      <c r="C884" t="s">
        <v>430</v>
      </c>
      <c r="D884">
        <v>13192</v>
      </c>
      <c r="E884">
        <v>9</v>
      </c>
    </row>
    <row r="885" customHeight="1" spans="1:5">
      <c r="A885" t="s">
        <v>12</v>
      </c>
      <c r="B885" t="s">
        <v>144</v>
      </c>
      <c r="C885" t="s">
        <v>430</v>
      </c>
      <c r="D885">
        <v>64719</v>
      </c>
      <c r="E885">
        <v>6</v>
      </c>
    </row>
    <row r="886" customHeight="1" spans="1:5">
      <c r="A886" t="s">
        <v>19</v>
      </c>
      <c r="B886" t="s">
        <v>151</v>
      </c>
      <c r="C886" t="s">
        <v>430</v>
      </c>
      <c r="D886">
        <v>67464</v>
      </c>
      <c r="E886">
        <v>3</v>
      </c>
    </row>
    <row r="887" customHeight="1" spans="1:5">
      <c r="A887" t="s">
        <v>48</v>
      </c>
      <c r="B887" t="s">
        <v>139</v>
      </c>
      <c r="C887" t="s">
        <v>430</v>
      </c>
      <c r="D887">
        <v>35839</v>
      </c>
      <c r="E887">
        <v>7</v>
      </c>
    </row>
    <row r="888" customHeight="1" spans="1:5">
      <c r="A888" t="s">
        <v>17</v>
      </c>
      <c r="B888" t="s">
        <v>128</v>
      </c>
      <c r="C888" t="s">
        <v>431</v>
      </c>
      <c r="D888">
        <v>45864</v>
      </c>
      <c r="E888">
        <v>10</v>
      </c>
    </row>
    <row r="889" customHeight="1" spans="1:5">
      <c r="A889" t="s">
        <v>14</v>
      </c>
      <c r="B889" t="s">
        <v>140</v>
      </c>
      <c r="C889" t="s">
        <v>431</v>
      </c>
      <c r="D889">
        <v>73351</v>
      </c>
      <c r="E889">
        <v>2</v>
      </c>
    </row>
    <row r="890" customHeight="1" spans="1:5">
      <c r="A890" t="s">
        <v>12</v>
      </c>
      <c r="B890" t="s">
        <v>88</v>
      </c>
      <c r="C890" t="s">
        <v>431</v>
      </c>
      <c r="D890">
        <v>97262</v>
      </c>
      <c r="E890">
        <v>10</v>
      </c>
    </row>
    <row r="891" customHeight="1" spans="1:5">
      <c r="A891" t="s">
        <v>33</v>
      </c>
      <c r="B891" t="s">
        <v>168</v>
      </c>
      <c r="C891" t="s">
        <v>431</v>
      </c>
      <c r="D891">
        <v>26239</v>
      </c>
      <c r="E891">
        <v>9</v>
      </c>
    </row>
    <row r="892" customHeight="1" spans="1:5">
      <c r="A892" t="s">
        <v>12</v>
      </c>
      <c r="B892" t="s">
        <v>133</v>
      </c>
      <c r="C892" t="s">
        <v>431</v>
      </c>
      <c r="D892">
        <v>12922</v>
      </c>
      <c r="E892">
        <v>8</v>
      </c>
    </row>
    <row r="893" customHeight="1" spans="1:5">
      <c r="A893" t="s">
        <v>14</v>
      </c>
      <c r="B893" t="s">
        <v>151</v>
      </c>
      <c r="C893" t="s">
        <v>431</v>
      </c>
      <c r="D893">
        <v>46622</v>
      </c>
      <c r="E893">
        <v>8</v>
      </c>
    </row>
    <row r="894" customHeight="1" spans="1:5">
      <c r="A894" t="s">
        <v>48</v>
      </c>
      <c r="B894" t="s">
        <v>109</v>
      </c>
      <c r="C894" t="s">
        <v>431</v>
      </c>
      <c r="D894">
        <v>84023</v>
      </c>
      <c r="E894">
        <v>7</v>
      </c>
    </row>
    <row r="895" customHeight="1" spans="1:5">
      <c r="A895" t="s">
        <v>33</v>
      </c>
      <c r="B895" t="s">
        <v>218</v>
      </c>
      <c r="C895" t="s">
        <v>432</v>
      </c>
      <c r="D895">
        <v>64483</v>
      </c>
      <c r="E895">
        <v>6</v>
      </c>
    </row>
    <row r="896" customHeight="1" spans="1:5">
      <c r="A896" t="s">
        <v>48</v>
      </c>
      <c r="B896" t="s">
        <v>166</v>
      </c>
      <c r="C896" t="s">
        <v>432</v>
      </c>
      <c r="D896">
        <v>87610</v>
      </c>
      <c r="E896">
        <v>10</v>
      </c>
    </row>
    <row r="897" customHeight="1" spans="1:5">
      <c r="A897" t="s">
        <v>35</v>
      </c>
      <c r="B897" t="s">
        <v>142</v>
      </c>
      <c r="C897" t="s">
        <v>432</v>
      </c>
      <c r="D897">
        <v>48706</v>
      </c>
      <c r="E897">
        <v>5</v>
      </c>
    </row>
    <row r="898" customHeight="1" spans="1:5">
      <c r="A898" t="s">
        <v>5</v>
      </c>
      <c r="B898" t="s">
        <v>269</v>
      </c>
      <c r="C898" t="s">
        <v>432</v>
      </c>
      <c r="D898">
        <v>79389</v>
      </c>
      <c r="E898">
        <v>7</v>
      </c>
    </row>
    <row r="899" customHeight="1" spans="1:5">
      <c r="A899" t="s">
        <v>17</v>
      </c>
      <c r="B899" t="s">
        <v>31</v>
      </c>
      <c r="C899" t="s">
        <v>432</v>
      </c>
      <c r="D899">
        <v>92836</v>
      </c>
      <c r="E899">
        <v>5</v>
      </c>
    </row>
    <row r="900" customHeight="1" spans="1:5">
      <c r="A900" t="s">
        <v>8</v>
      </c>
      <c r="B900" t="s">
        <v>9</v>
      </c>
      <c r="C900" t="s">
        <v>432</v>
      </c>
      <c r="D900">
        <v>11777</v>
      </c>
      <c r="E900">
        <v>2</v>
      </c>
    </row>
    <row r="901" customHeight="1" spans="1:5">
      <c r="A901" t="s">
        <v>10</v>
      </c>
      <c r="B901" t="s">
        <v>86</v>
      </c>
      <c r="C901" t="s">
        <v>433</v>
      </c>
      <c r="D901">
        <v>27604</v>
      </c>
      <c r="E901">
        <v>2</v>
      </c>
    </row>
    <row r="902" customHeight="1" spans="1:5">
      <c r="A902" t="s">
        <v>5</v>
      </c>
      <c r="B902" t="s">
        <v>101</v>
      </c>
      <c r="C902" t="s">
        <v>434</v>
      </c>
      <c r="D902">
        <v>32619</v>
      </c>
      <c r="E902">
        <v>3</v>
      </c>
    </row>
    <row r="903" customHeight="1" spans="1:5">
      <c r="A903" t="s">
        <v>19</v>
      </c>
      <c r="B903" t="s">
        <v>250</v>
      </c>
      <c r="C903" t="s">
        <v>435</v>
      </c>
      <c r="D903">
        <v>60971</v>
      </c>
      <c r="E903">
        <v>7</v>
      </c>
    </row>
    <row r="904" customHeight="1" spans="1:5">
      <c r="A904" t="s">
        <v>30</v>
      </c>
      <c r="B904" t="s">
        <v>225</v>
      </c>
      <c r="C904" t="s">
        <v>435</v>
      </c>
      <c r="D904">
        <v>86633</v>
      </c>
      <c r="E904">
        <v>7</v>
      </c>
    </row>
    <row r="905" customHeight="1" spans="1:5">
      <c r="A905" t="s">
        <v>8</v>
      </c>
      <c r="B905" t="s">
        <v>340</v>
      </c>
      <c r="C905" t="s">
        <v>435</v>
      </c>
      <c r="D905">
        <v>67244</v>
      </c>
      <c r="E905">
        <v>4</v>
      </c>
    </row>
    <row r="906" customHeight="1" spans="1:5">
      <c r="A906" t="s">
        <v>35</v>
      </c>
      <c r="B906" t="s">
        <v>31</v>
      </c>
      <c r="C906" t="s">
        <v>435</v>
      </c>
      <c r="D906">
        <v>12847</v>
      </c>
      <c r="E906">
        <v>4</v>
      </c>
    </row>
    <row r="907" customHeight="1" spans="1:5">
      <c r="A907" t="s">
        <v>19</v>
      </c>
      <c r="B907" t="s">
        <v>170</v>
      </c>
      <c r="C907" t="s">
        <v>435</v>
      </c>
      <c r="D907">
        <v>71262</v>
      </c>
      <c r="E907">
        <v>8</v>
      </c>
    </row>
    <row r="908" customHeight="1" spans="1:5">
      <c r="A908" t="s">
        <v>30</v>
      </c>
      <c r="B908" t="s">
        <v>52</v>
      </c>
      <c r="C908" t="s">
        <v>435</v>
      </c>
      <c r="D908">
        <v>82960</v>
      </c>
      <c r="E908">
        <v>5</v>
      </c>
    </row>
    <row r="909" customHeight="1" spans="1:5">
      <c r="A909" t="s">
        <v>19</v>
      </c>
      <c r="B909" t="s">
        <v>66</v>
      </c>
      <c r="C909" t="s">
        <v>436</v>
      </c>
      <c r="D909">
        <v>74498</v>
      </c>
      <c r="E909">
        <v>5</v>
      </c>
    </row>
    <row r="910" customHeight="1" spans="1:5">
      <c r="A910" t="s">
        <v>14</v>
      </c>
      <c r="B910" t="s">
        <v>129</v>
      </c>
      <c r="C910" t="s">
        <v>436</v>
      </c>
      <c r="D910">
        <v>45667</v>
      </c>
      <c r="E910">
        <v>6</v>
      </c>
    </row>
    <row r="911" customHeight="1" spans="1:5">
      <c r="A911" t="s">
        <v>35</v>
      </c>
      <c r="B911" t="s">
        <v>49</v>
      </c>
      <c r="C911" t="s">
        <v>436</v>
      </c>
      <c r="D911">
        <v>71267</v>
      </c>
      <c r="E911">
        <v>5</v>
      </c>
    </row>
    <row r="912" customHeight="1" spans="1:5">
      <c r="A912" t="s">
        <v>19</v>
      </c>
      <c r="B912" t="s">
        <v>368</v>
      </c>
      <c r="C912" t="s">
        <v>436</v>
      </c>
      <c r="D912">
        <v>60386</v>
      </c>
      <c r="E912">
        <v>8</v>
      </c>
    </row>
    <row r="913" customHeight="1" spans="1:5">
      <c r="A913" t="s">
        <v>12</v>
      </c>
      <c r="B913" t="s">
        <v>15</v>
      </c>
      <c r="C913" t="s">
        <v>436</v>
      </c>
      <c r="D913">
        <v>58375</v>
      </c>
      <c r="E913">
        <v>6</v>
      </c>
    </row>
    <row r="914" customHeight="1" spans="1:5">
      <c r="A914" t="s">
        <v>14</v>
      </c>
      <c r="B914" t="s">
        <v>427</v>
      </c>
      <c r="C914" t="s">
        <v>436</v>
      </c>
      <c r="D914">
        <v>34486</v>
      </c>
      <c r="E914">
        <v>7</v>
      </c>
    </row>
    <row r="915" customHeight="1" spans="1:5">
      <c r="A915" t="s">
        <v>12</v>
      </c>
      <c r="B915" t="s">
        <v>195</v>
      </c>
      <c r="C915" t="s">
        <v>436</v>
      </c>
      <c r="D915">
        <v>23935</v>
      </c>
      <c r="E915">
        <v>10</v>
      </c>
    </row>
    <row r="916" customHeight="1" spans="1:5">
      <c r="A916" t="s">
        <v>5</v>
      </c>
      <c r="B916" t="s">
        <v>204</v>
      </c>
      <c r="C916" t="s">
        <v>436</v>
      </c>
      <c r="D916">
        <v>93818</v>
      </c>
      <c r="E916">
        <v>1</v>
      </c>
    </row>
    <row r="917" customHeight="1" spans="1:5">
      <c r="A917" t="s">
        <v>21</v>
      </c>
      <c r="B917" t="s">
        <v>116</v>
      </c>
      <c r="C917" t="s">
        <v>436</v>
      </c>
      <c r="D917">
        <v>73422</v>
      </c>
      <c r="E917">
        <v>6</v>
      </c>
    </row>
    <row r="918" customHeight="1" spans="1:5">
      <c r="A918" t="s">
        <v>33</v>
      </c>
      <c r="B918" t="s">
        <v>72</v>
      </c>
      <c r="C918" t="s">
        <v>436</v>
      </c>
      <c r="D918">
        <v>19971</v>
      </c>
      <c r="E918">
        <v>7</v>
      </c>
    </row>
    <row r="919" customHeight="1" spans="1:5">
      <c r="A919" t="s">
        <v>17</v>
      </c>
      <c r="B919" t="s">
        <v>50</v>
      </c>
      <c r="C919" t="s">
        <v>436</v>
      </c>
      <c r="D919">
        <v>51856</v>
      </c>
      <c r="E919">
        <v>6</v>
      </c>
    </row>
    <row r="920" customHeight="1" spans="1:5">
      <c r="A920" t="s">
        <v>19</v>
      </c>
      <c r="B920" t="s">
        <v>172</v>
      </c>
      <c r="C920" t="s">
        <v>437</v>
      </c>
      <c r="D920">
        <v>98205</v>
      </c>
      <c r="E920">
        <v>10</v>
      </c>
    </row>
    <row r="921" customHeight="1" spans="1:5">
      <c r="A921" t="s">
        <v>35</v>
      </c>
      <c r="B921" t="s">
        <v>65</v>
      </c>
      <c r="C921" t="s">
        <v>437</v>
      </c>
      <c r="D921">
        <v>41347</v>
      </c>
      <c r="E921">
        <v>3</v>
      </c>
    </row>
    <row r="922" customHeight="1" spans="1:5">
      <c r="A922" t="s">
        <v>14</v>
      </c>
      <c r="B922" t="s">
        <v>241</v>
      </c>
      <c r="C922" t="s">
        <v>438</v>
      </c>
      <c r="D922">
        <v>84575</v>
      </c>
      <c r="E922">
        <v>8</v>
      </c>
    </row>
    <row r="923" customHeight="1" spans="1:5">
      <c r="A923" t="s">
        <v>10</v>
      </c>
      <c r="B923" t="s">
        <v>104</v>
      </c>
      <c r="C923" t="s">
        <v>438</v>
      </c>
      <c r="D923">
        <v>42481</v>
      </c>
      <c r="E923">
        <v>5</v>
      </c>
    </row>
    <row r="924" customHeight="1" spans="1:5">
      <c r="A924" t="s">
        <v>5</v>
      </c>
      <c r="B924" t="s">
        <v>76</v>
      </c>
      <c r="C924" t="s">
        <v>438</v>
      </c>
      <c r="D924">
        <v>63543</v>
      </c>
      <c r="E924">
        <v>8</v>
      </c>
    </row>
    <row r="925" customHeight="1" spans="1:5">
      <c r="A925" t="s">
        <v>17</v>
      </c>
      <c r="B925" t="s">
        <v>222</v>
      </c>
      <c r="C925" t="s">
        <v>438</v>
      </c>
      <c r="D925">
        <v>96417</v>
      </c>
      <c r="E925">
        <v>5</v>
      </c>
    </row>
    <row r="926" customHeight="1" spans="1:5">
      <c r="A926" t="s">
        <v>8</v>
      </c>
      <c r="B926" t="s">
        <v>63</v>
      </c>
      <c r="C926" t="s">
        <v>438</v>
      </c>
      <c r="D926">
        <v>92080</v>
      </c>
      <c r="E926">
        <v>2</v>
      </c>
    </row>
    <row r="927" customHeight="1" spans="1:5">
      <c r="A927" t="s">
        <v>19</v>
      </c>
      <c r="B927" t="s">
        <v>271</v>
      </c>
      <c r="C927" t="s">
        <v>438</v>
      </c>
      <c r="D927">
        <v>90612</v>
      </c>
      <c r="E927">
        <v>10</v>
      </c>
    </row>
    <row r="928" customHeight="1" spans="1:5">
      <c r="A928" t="s">
        <v>21</v>
      </c>
      <c r="B928" t="s">
        <v>181</v>
      </c>
      <c r="C928" t="s">
        <v>439</v>
      </c>
      <c r="D928">
        <v>81068</v>
      </c>
      <c r="E928">
        <v>8</v>
      </c>
    </row>
    <row r="929" customHeight="1" spans="1:5">
      <c r="A929" t="s">
        <v>12</v>
      </c>
      <c r="B929" t="s">
        <v>202</v>
      </c>
      <c r="C929" t="s">
        <v>439</v>
      </c>
      <c r="D929">
        <v>17055</v>
      </c>
      <c r="E929">
        <v>7</v>
      </c>
    </row>
    <row r="930" customHeight="1" spans="1:5">
      <c r="A930" t="s">
        <v>12</v>
      </c>
      <c r="B930" t="s">
        <v>45</v>
      </c>
      <c r="C930" t="s">
        <v>439</v>
      </c>
      <c r="D930">
        <v>44328</v>
      </c>
      <c r="E930">
        <v>7</v>
      </c>
    </row>
    <row r="931" customHeight="1" spans="1:5">
      <c r="A931" t="s">
        <v>19</v>
      </c>
      <c r="B931" t="s">
        <v>239</v>
      </c>
      <c r="C931" t="s">
        <v>440</v>
      </c>
      <c r="D931">
        <v>29461</v>
      </c>
      <c r="E931">
        <v>3</v>
      </c>
    </row>
    <row r="932" customHeight="1" spans="1:5">
      <c r="A932" t="s">
        <v>14</v>
      </c>
      <c r="B932" t="s">
        <v>31</v>
      </c>
      <c r="C932" t="s">
        <v>440</v>
      </c>
      <c r="D932">
        <v>49493</v>
      </c>
      <c r="E932">
        <v>4</v>
      </c>
    </row>
    <row r="933" customHeight="1" spans="1:5">
      <c r="A933" t="s">
        <v>5</v>
      </c>
      <c r="B933" t="s">
        <v>119</v>
      </c>
      <c r="C933" t="s">
        <v>440</v>
      </c>
      <c r="D933">
        <v>32785</v>
      </c>
      <c r="E933">
        <v>8</v>
      </c>
    </row>
    <row r="934" customHeight="1" spans="1:5">
      <c r="A934" t="s">
        <v>10</v>
      </c>
      <c r="B934" t="s">
        <v>226</v>
      </c>
      <c r="C934" t="s">
        <v>440</v>
      </c>
      <c r="D934">
        <v>62176</v>
      </c>
      <c r="E934">
        <v>10</v>
      </c>
    </row>
    <row r="935" customHeight="1" spans="1:5">
      <c r="A935" t="s">
        <v>10</v>
      </c>
      <c r="B935" t="s">
        <v>206</v>
      </c>
      <c r="C935" t="s">
        <v>440</v>
      </c>
      <c r="D935">
        <v>49665</v>
      </c>
      <c r="E935">
        <v>4</v>
      </c>
    </row>
    <row r="936" customHeight="1" spans="1:5">
      <c r="A936" t="s">
        <v>12</v>
      </c>
      <c r="B936" t="s">
        <v>202</v>
      </c>
      <c r="C936" t="s">
        <v>441</v>
      </c>
      <c r="D936">
        <v>27623</v>
      </c>
      <c r="E936">
        <v>7</v>
      </c>
    </row>
    <row r="937" customHeight="1" spans="1:5">
      <c r="A937" t="s">
        <v>14</v>
      </c>
      <c r="B937" t="s">
        <v>218</v>
      </c>
      <c r="C937" t="s">
        <v>441</v>
      </c>
      <c r="D937">
        <v>92637</v>
      </c>
      <c r="E937">
        <v>8</v>
      </c>
    </row>
    <row r="938" customHeight="1" spans="1:5">
      <c r="A938" t="s">
        <v>21</v>
      </c>
      <c r="B938" t="s">
        <v>267</v>
      </c>
      <c r="C938" t="s">
        <v>441</v>
      </c>
      <c r="D938">
        <v>24166</v>
      </c>
      <c r="E938">
        <v>7</v>
      </c>
    </row>
    <row r="939" customHeight="1" spans="1:5">
      <c r="A939" t="s">
        <v>8</v>
      </c>
      <c r="B939" t="s">
        <v>213</v>
      </c>
      <c r="C939" t="s">
        <v>441</v>
      </c>
      <c r="D939">
        <v>88060</v>
      </c>
      <c r="E939">
        <v>7</v>
      </c>
    </row>
    <row r="940" customHeight="1" spans="1:5">
      <c r="A940" t="s">
        <v>10</v>
      </c>
      <c r="B940" t="s">
        <v>271</v>
      </c>
      <c r="C940" t="s">
        <v>441</v>
      </c>
      <c r="D940">
        <v>84874</v>
      </c>
      <c r="E940">
        <v>3</v>
      </c>
    </row>
    <row r="941" customHeight="1" spans="1:5">
      <c r="A941" t="s">
        <v>10</v>
      </c>
      <c r="B941" t="s">
        <v>192</v>
      </c>
      <c r="C941" t="s">
        <v>441</v>
      </c>
      <c r="D941">
        <v>86811</v>
      </c>
      <c r="E941">
        <v>7</v>
      </c>
    </row>
    <row r="942" customHeight="1" spans="1:5">
      <c r="A942" t="s">
        <v>12</v>
      </c>
      <c r="B942" t="s">
        <v>231</v>
      </c>
      <c r="C942" t="s">
        <v>441</v>
      </c>
      <c r="D942">
        <v>84697</v>
      </c>
      <c r="E942">
        <v>6</v>
      </c>
    </row>
    <row r="943" customHeight="1" spans="1:5">
      <c r="A943" t="s">
        <v>35</v>
      </c>
      <c r="B943" t="s">
        <v>103</v>
      </c>
      <c r="C943" t="s">
        <v>442</v>
      </c>
      <c r="D943">
        <v>13307</v>
      </c>
      <c r="E943">
        <v>7</v>
      </c>
    </row>
    <row r="944" customHeight="1" spans="1:5">
      <c r="A944" t="s">
        <v>8</v>
      </c>
      <c r="B944" t="s">
        <v>68</v>
      </c>
      <c r="C944" t="s">
        <v>442</v>
      </c>
      <c r="D944">
        <v>45597</v>
      </c>
      <c r="E944">
        <v>5</v>
      </c>
    </row>
    <row r="945" customHeight="1" spans="1:5">
      <c r="A945" t="s">
        <v>12</v>
      </c>
      <c r="B945" t="s">
        <v>111</v>
      </c>
      <c r="C945" t="s">
        <v>443</v>
      </c>
      <c r="D945">
        <v>98696</v>
      </c>
      <c r="E945">
        <v>3</v>
      </c>
    </row>
    <row r="946" customHeight="1" spans="1:5">
      <c r="A946" t="s">
        <v>21</v>
      </c>
      <c r="B946" t="s">
        <v>81</v>
      </c>
      <c r="C946" t="s">
        <v>443</v>
      </c>
      <c r="D946">
        <v>43876</v>
      </c>
      <c r="E946">
        <v>2</v>
      </c>
    </row>
    <row r="947" customHeight="1" spans="1:5">
      <c r="A947" t="s">
        <v>5</v>
      </c>
      <c r="B947" t="s">
        <v>236</v>
      </c>
      <c r="C947" t="s">
        <v>443</v>
      </c>
      <c r="D947">
        <v>58158</v>
      </c>
      <c r="E947">
        <v>10</v>
      </c>
    </row>
    <row r="948" customHeight="1" spans="1:5">
      <c r="A948" t="s">
        <v>8</v>
      </c>
      <c r="B948" t="s">
        <v>9</v>
      </c>
      <c r="C948" t="s">
        <v>444</v>
      </c>
      <c r="D948">
        <v>53355</v>
      </c>
      <c r="E948">
        <v>3</v>
      </c>
    </row>
    <row r="949" customHeight="1" spans="1:5">
      <c r="A949" t="s">
        <v>35</v>
      </c>
      <c r="B949" t="s">
        <v>99</v>
      </c>
      <c r="C949" t="s">
        <v>444</v>
      </c>
      <c r="D949">
        <v>22813</v>
      </c>
      <c r="E949">
        <v>6</v>
      </c>
    </row>
    <row r="950" customHeight="1" spans="1:5">
      <c r="A950" t="s">
        <v>8</v>
      </c>
      <c r="B950" t="s">
        <v>231</v>
      </c>
      <c r="C950" t="s">
        <v>445</v>
      </c>
      <c r="D950">
        <v>49126</v>
      </c>
      <c r="E950">
        <v>4</v>
      </c>
    </row>
    <row r="951" customHeight="1" spans="1:5">
      <c r="A951" t="s">
        <v>19</v>
      </c>
      <c r="B951" t="s">
        <v>180</v>
      </c>
      <c r="C951" t="s">
        <v>445</v>
      </c>
      <c r="D951">
        <v>38885</v>
      </c>
      <c r="E951">
        <v>8</v>
      </c>
    </row>
    <row r="952" customHeight="1" spans="1:5">
      <c r="A952" t="s">
        <v>14</v>
      </c>
      <c r="B952" t="s">
        <v>206</v>
      </c>
      <c r="C952" t="s">
        <v>446</v>
      </c>
      <c r="D952">
        <v>50889</v>
      </c>
      <c r="E952">
        <v>7</v>
      </c>
    </row>
    <row r="953" customHeight="1" spans="1:5">
      <c r="A953" t="s">
        <v>35</v>
      </c>
      <c r="B953" t="s">
        <v>293</v>
      </c>
      <c r="C953" t="s">
        <v>446</v>
      </c>
      <c r="D953">
        <v>15616</v>
      </c>
      <c r="E953">
        <v>6</v>
      </c>
    </row>
    <row r="954" customHeight="1" spans="1:5">
      <c r="A954" t="s">
        <v>10</v>
      </c>
      <c r="B954" t="s">
        <v>80</v>
      </c>
      <c r="C954" t="s">
        <v>446</v>
      </c>
      <c r="D954">
        <v>11461</v>
      </c>
      <c r="E954">
        <v>2</v>
      </c>
    </row>
    <row r="955" customHeight="1" spans="1:5">
      <c r="A955" t="s">
        <v>19</v>
      </c>
      <c r="B955" t="s">
        <v>38</v>
      </c>
      <c r="C955" t="s">
        <v>446</v>
      </c>
      <c r="D955">
        <v>41352</v>
      </c>
      <c r="E955">
        <v>5</v>
      </c>
    </row>
    <row r="956" customHeight="1" spans="1:5">
      <c r="A956" t="s">
        <v>35</v>
      </c>
      <c r="B956" t="s">
        <v>256</v>
      </c>
      <c r="C956" t="s">
        <v>446</v>
      </c>
      <c r="D956">
        <v>89903</v>
      </c>
      <c r="E956">
        <v>7</v>
      </c>
    </row>
    <row r="957" customHeight="1" spans="1:5">
      <c r="A957" t="s">
        <v>8</v>
      </c>
      <c r="B957" t="s">
        <v>404</v>
      </c>
      <c r="C957" t="s">
        <v>447</v>
      </c>
      <c r="D957">
        <v>30476</v>
      </c>
      <c r="E957">
        <v>7</v>
      </c>
    </row>
    <row r="958" customHeight="1" spans="1:5">
      <c r="A958" t="s">
        <v>12</v>
      </c>
      <c r="B958" t="s">
        <v>304</v>
      </c>
      <c r="C958" t="s">
        <v>447</v>
      </c>
      <c r="D958">
        <v>94983</v>
      </c>
      <c r="E958">
        <v>5</v>
      </c>
    </row>
    <row r="959" customHeight="1" spans="1:5">
      <c r="A959" t="s">
        <v>5</v>
      </c>
      <c r="B959" t="s">
        <v>109</v>
      </c>
      <c r="C959" t="s">
        <v>447</v>
      </c>
      <c r="D959">
        <v>57844</v>
      </c>
      <c r="E959">
        <v>7</v>
      </c>
    </row>
    <row r="960" customHeight="1" spans="1:5">
      <c r="A960" t="s">
        <v>17</v>
      </c>
      <c r="B960" t="s">
        <v>101</v>
      </c>
      <c r="C960" t="s">
        <v>447</v>
      </c>
      <c r="D960">
        <v>94136</v>
      </c>
      <c r="E960">
        <v>7</v>
      </c>
    </row>
    <row r="961" customHeight="1" spans="1:5">
      <c r="A961" t="s">
        <v>19</v>
      </c>
      <c r="B961" t="s">
        <v>99</v>
      </c>
      <c r="C961" t="s">
        <v>447</v>
      </c>
      <c r="D961">
        <v>83300</v>
      </c>
      <c r="E961">
        <v>9</v>
      </c>
    </row>
    <row r="962" customHeight="1" spans="1:5">
      <c r="A962" t="s">
        <v>17</v>
      </c>
      <c r="B962" t="s">
        <v>26</v>
      </c>
      <c r="C962" t="s">
        <v>448</v>
      </c>
      <c r="D962">
        <v>30379</v>
      </c>
      <c r="E962">
        <v>7</v>
      </c>
    </row>
    <row r="963" customHeight="1" spans="1:5">
      <c r="A963" t="s">
        <v>33</v>
      </c>
      <c r="B963" t="s">
        <v>86</v>
      </c>
      <c r="C963" t="s">
        <v>448</v>
      </c>
      <c r="D963">
        <v>50306</v>
      </c>
      <c r="E963">
        <v>6</v>
      </c>
    </row>
    <row r="964" customHeight="1" spans="1:5">
      <c r="A964" t="s">
        <v>17</v>
      </c>
      <c r="B964" t="s">
        <v>113</v>
      </c>
      <c r="C964" t="s">
        <v>449</v>
      </c>
      <c r="D964">
        <v>20954</v>
      </c>
      <c r="E964">
        <v>6</v>
      </c>
    </row>
    <row r="965" customHeight="1" spans="1:5">
      <c r="A965" t="s">
        <v>35</v>
      </c>
      <c r="B965" t="s">
        <v>54</v>
      </c>
      <c r="C965" t="s">
        <v>449</v>
      </c>
      <c r="D965">
        <v>38311</v>
      </c>
      <c r="E965">
        <v>7</v>
      </c>
    </row>
    <row r="966" customHeight="1" spans="1:5">
      <c r="A966" t="s">
        <v>12</v>
      </c>
      <c r="B966" t="s">
        <v>77</v>
      </c>
      <c r="C966" t="s">
        <v>450</v>
      </c>
      <c r="D966">
        <v>67203</v>
      </c>
      <c r="E966">
        <v>6</v>
      </c>
    </row>
    <row r="967" customHeight="1" spans="1:5">
      <c r="A967" t="s">
        <v>19</v>
      </c>
      <c r="B967" t="s">
        <v>168</v>
      </c>
      <c r="C967" t="s">
        <v>451</v>
      </c>
      <c r="D967">
        <v>12694</v>
      </c>
      <c r="E967">
        <v>3</v>
      </c>
    </row>
    <row r="968" customHeight="1" spans="1:5">
      <c r="A968" t="s">
        <v>5</v>
      </c>
      <c r="B968" t="s">
        <v>237</v>
      </c>
      <c r="C968" t="s">
        <v>451</v>
      </c>
      <c r="D968">
        <v>99292</v>
      </c>
      <c r="E968">
        <v>8</v>
      </c>
    </row>
    <row r="969" customHeight="1" spans="1:5">
      <c r="A969" t="s">
        <v>21</v>
      </c>
      <c r="B969" t="s">
        <v>146</v>
      </c>
      <c r="C969" t="s">
        <v>451</v>
      </c>
      <c r="D969">
        <v>39643</v>
      </c>
      <c r="E969">
        <v>7</v>
      </c>
    </row>
    <row r="970" customHeight="1" spans="1:5">
      <c r="A970" t="s">
        <v>5</v>
      </c>
      <c r="B970" t="s">
        <v>55</v>
      </c>
      <c r="C970" t="s">
        <v>451</v>
      </c>
      <c r="D970">
        <v>18911</v>
      </c>
      <c r="E970">
        <v>9</v>
      </c>
    </row>
    <row r="971" customHeight="1" spans="1:5">
      <c r="A971" t="s">
        <v>12</v>
      </c>
      <c r="B971" t="s">
        <v>226</v>
      </c>
      <c r="C971" t="s">
        <v>451</v>
      </c>
      <c r="D971">
        <v>19317</v>
      </c>
      <c r="E971">
        <v>8</v>
      </c>
    </row>
    <row r="972" customHeight="1" spans="1:5">
      <c r="A972" t="s">
        <v>10</v>
      </c>
      <c r="B972" t="s">
        <v>131</v>
      </c>
      <c r="C972" t="s">
        <v>451</v>
      </c>
      <c r="D972">
        <v>59678</v>
      </c>
      <c r="E972">
        <v>5</v>
      </c>
    </row>
    <row r="973" customHeight="1" spans="1:5">
      <c r="A973" t="s">
        <v>30</v>
      </c>
      <c r="B973" t="s">
        <v>47</v>
      </c>
      <c r="C973" t="s">
        <v>451</v>
      </c>
      <c r="D973">
        <v>63740</v>
      </c>
      <c r="E973">
        <v>3</v>
      </c>
    </row>
    <row r="974" customHeight="1" spans="1:5">
      <c r="A974" t="s">
        <v>30</v>
      </c>
      <c r="B974" t="s">
        <v>277</v>
      </c>
      <c r="C974" t="s">
        <v>451</v>
      </c>
      <c r="D974">
        <v>44826</v>
      </c>
      <c r="E974">
        <v>7</v>
      </c>
    </row>
    <row r="975" customHeight="1" spans="1:5">
      <c r="A975" t="s">
        <v>10</v>
      </c>
      <c r="B975" t="s">
        <v>131</v>
      </c>
      <c r="C975" t="s">
        <v>451</v>
      </c>
      <c r="D975">
        <v>17827</v>
      </c>
      <c r="E975">
        <v>7</v>
      </c>
    </row>
    <row r="976" customHeight="1" spans="1:5">
      <c r="A976" t="s">
        <v>35</v>
      </c>
      <c r="B976" t="s">
        <v>293</v>
      </c>
      <c r="C976" t="s">
        <v>452</v>
      </c>
      <c r="D976">
        <v>99423</v>
      </c>
      <c r="E976">
        <v>6</v>
      </c>
    </row>
    <row r="977" customHeight="1" spans="1:5">
      <c r="A977" t="s">
        <v>10</v>
      </c>
      <c r="B977" t="s">
        <v>421</v>
      </c>
      <c r="C977" t="s">
        <v>453</v>
      </c>
      <c r="D977">
        <v>37589</v>
      </c>
      <c r="E977">
        <v>9</v>
      </c>
    </row>
    <row r="978" customHeight="1" spans="1:5">
      <c r="A978" t="s">
        <v>14</v>
      </c>
      <c r="B978" t="s">
        <v>77</v>
      </c>
      <c r="C978" t="s">
        <v>454</v>
      </c>
      <c r="D978">
        <v>56398</v>
      </c>
      <c r="E978">
        <v>6</v>
      </c>
    </row>
    <row r="979" customHeight="1" spans="1:5">
      <c r="A979" t="s">
        <v>33</v>
      </c>
      <c r="B979" t="s">
        <v>97</v>
      </c>
      <c r="C979" t="s">
        <v>454</v>
      </c>
      <c r="D979">
        <v>44686</v>
      </c>
      <c r="E979">
        <v>7</v>
      </c>
    </row>
    <row r="980" customHeight="1" spans="1:5">
      <c r="A980" t="s">
        <v>21</v>
      </c>
      <c r="B980" t="s">
        <v>131</v>
      </c>
      <c r="C980" t="s">
        <v>454</v>
      </c>
      <c r="D980">
        <v>61374</v>
      </c>
      <c r="E980">
        <v>5</v>
      </c>
    </row>
    <row r="981" customHeight="1" spans="1:5">
      <c r="A981" t="s">
        <v>48</v>
      </c>
      <c r="B981" t="s">
        <v>114</v>
      </c>
      <c r="C981" t="s">
        <v>455</v>
      </c>
      <c r="D981">
        <v>80989</v>
      </c>
      <c r="E981">
        <v>7</v>
      </c>
    </row>
    <row r="982" customHeight="1" spans="1:5">
      <c r="A982" t="s">
        <v>5</v>
      </c>
      <c r="B982" t="s">
        <v>273</v>
      </c>
      <c r="C982" t="s">
        <v>455</v>
      </c>
      <c r="D982">
        <v>95411</v>
      </c>
      <c r="E982">
        <v>8</v>
      </c>
    </row>
    <row r="983" customHeight="1" spans="1:5">
      <c r="A983" t="s">
        <v>48</v>
      </c>
      <c r="B983" t="s">
        <v>124</v>
      </c>
      <c r="C983" t="s">
        <v>455</v>
      </c>
      <c r="D983">
        <v>34903</v>
      </c>
      <c r="E983">
        <v>8</v>
      </c>
    </row>
    <row r="984" customHeight="1" spans="1:5">
      <c r="A984" t="s">
        <v>12</v>
      </c>
      <c r="B984" t="s">
        <v>24</v>
      </c>
      <c r="C984" t="s">
        <v>455</v>
      </c>
      <c r="D984">
        <v>36665</v>
      </c>
      <c r="E984">
        <v>8</v>
      </c>
    </row>
    <row r="985" customHeight="1" spans="1:5">
      <c r="A985" t="s">
        <v>14</v>
      </c>
      <c r="B985" t="s">
        <v>31</v>
      </c>
      <c r="C985" t="s">
        <v>455</v>
      </c>
      <c r="D985">
        <v>18736</v>
      </c>
      <c r="E985">
        <v>4</v>
      </c>
    </row>
    <row r="986" customHeight="1" spans="1:5">
      <c r="A986" t="s">
        <v>12</v>
      </c>
      <c r="B986" t="s">
        <v>120</v>
      </c>
      <c r="C986" t="s">
        <v>455</v>
      </c>
      <c r="D986">
        <v>41828</v>
      </c>
      <c r="E986">
        <v>5</v>
      </c>
    </row>
    <row r="987" customHeight="1" spans="1:5">
      <c r="A987" t="s">
        <v>14</v>
      </c>
      <c r="B987" t="s">
        <v>340</v>
      </c>
      <c r="C987" t="s">
        <v>455</v>
      </c>
      <c r="D987">
        <v>91253</v>
      </c>
      <c r="E987">
        <v>5</v>
      </c>
    </row>
    <row r="988" customHeight="1" spans="1:5">
      <c r="A988" t="s">
        <v>5</v>
      </c>
      <c r="B988" t="s">
        <v>45</v>
      </c>
      <c r="C988" t="s">
        <v>455</v>
      </c>
      <c r="D988">
        <v>35384</v>
      </c>
      <c r="E988">
        <v>6</v>
      </c>
    </row>
    <row r="989" customHeight="1" spans="1:5">
      <c r="A989" t="s">
        <v>5</v>
      </c>
      <c r="B989" t="s">
        <v>75</v>
      </c>
      <c r="C989" t="s">
        <v>455</v>
      </c>
      <c r="D989">
        <v>48246</v>
      </c>
      <c r="E989">
        <v>5</v>
      </c>
    </row>
    <row r="990" customHeight="1" spans="1:5">
      <c r="A990" t="s">
        <v>12</v>
      </c>
      <c r="B990" t="s">
        <v>140</v>
      </c>
      <c r="C990" t="s">
        <v>455</v>
      </c>
      <c r="D990">
        <v>95984</v>
      </c>
      <c r="E990">
        <v>8</v>
      </c>
    </row>
    <row r="991" customHeight="1" spans="1:5">
      <c r="A991" t="s">
        <v>35</v>
      </c>
      <c r="B991" t="s">
        <v>99</v>
      </c>
      <c r="C991" t="s">
        <v>455</v>
      </c>
      <c r="D991">
        <v>85202</v>
      </c>
      <c r="E991">
        <v>3</v>
      </c>
    </row>
    <row r="992" customHeight="1" spans="1:5">
      <c r="A992" t="s">
        <v>17</v>
      </c>
      <c r="B992" t="s">
        <v>131</v>
      </c>
      <c r="C992" t="s">
        <v>456</v>
      </c>
      <c r="D992">
        <v>84528</v>
      </c>
      <c r="E992">
        <v>5</v>
      </c>
    </row>
    <row r="993" customHeight="1" spans="1:5">
      <c r="A993" t="s">
        <v>21</v>
      </c>
      <c r="B993" t="s">
        <v>72</v>
      </c>
      <c r="C993" t="s">
        <v>456</v>
      </c>
      <c r="D993">
        <v>24912</v>
      </c>
      <c r="E993">
        <v>9</v>
      </c>
    </row>
    <row r="994" customHeight="1" spans="1:5">
      <c r="A994" t="s">
        <v>12</v>
      </c>
      <c r="B994" t="s">
        <v>261</v>
      </c>
      <c r="C994" t="s">
        <v>456</v>
      </c>
      <c r="D994">
        <v>75041</v>
      </c>
      <c r="E994">
        <v>6</v>
      </c>
    </row>
    <row r="995" customHeight="1" spans="1:5">
      <c r="A995" t="s">
        <v>30</v>
      </c>
      <c r="B995" t="s">
        <v>215</v>
      </c>
      <c r="C995" t="s">
        <v>457</v>
      </c>
      <c r="D995">
        <v>85255</v>
      </c>
      <c r="E995">
        <v>4</v>
      </c>
    </row>
    <row r="996" customHeight="1" spans="1:5">
      <c r="A996" t="s">
        <v>33</v>
      </c>
      <c r="B996" t="s">
        <v>107</v>
      </c>
      <c r="C996" t="s">
        <v>458</v>
      </c>
      <c r="D996">
        <v>95278</v>
      </c>
      <c r="E996">
        <v>7</v>
      </c>
    </row>
    <row r="997" customHeight="1" spans="1:5">
      <c r="A997" t="s">
        <v>5</v>
      </c>
      <c r="B997" t="s">
        <v>162</v>
      </c>
      <c r="C997" t="s">
        <v>458</v>
      </c>
      <c r="D997">
        <v>79677</v>
      </c>
      <c r="E997">
        <v>4</v>
      </c>
    </row>
    <row r="998" customHeight="1" spans="1:5">
      <c r="A998" t="s">
        <v>17</v>
      </c>
      <c r="B998" t="s">
        <v>110</v>
      </c>
      <c r="C998" t="s">
        <v>459</v>
      </c>
      <c r="D998">
        <v>35705</v>
      </c>
      <c r="E998">
        <v>7</v>
      </c>
    </row>
    <row r="999" customHeight="1" spans="1:5">
      <c r="A999" t="s">
        <v>35</v>
      </c>
      <c r="B999" t="s">
        <v>145</v>
      </c>
      <c r="C999" t="s">
        <v>459</v>
      </c>
      <c r="D999">
        <v>21812</v>
      </c>
      <c r="E999">
        <v>9</v>
      </c>
    </row>
    <row r="1000" customHeight="1" spans="1:5">
      <c r="A1000" t="s">
        <v>8</v>
      </c>
      <c r="B1000" t="s">
        <v>178</v>
      </c>
      <c r="C1000" t="s">
        <v>460</v>
      </c>
      <c r="D1000">
        <v>13639</v>
      </c>
      <c r="E1000">
        <v>8</v>
      </c>
    </row>
    <row r="1001" customHeight="1" spans="1:5">
      <c r="A1001" t="s">
        <v>19</v>
      </c>
      <c r="B1001" t="s">
        <v>214</v>
      </c>
      <c r="C1001" t="s">
        <v>460</v>
      </c>
      <c r="D1001">
        <v>58957</v>
      </c>
      <c r="E1001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workbookViewId="0">
      <pane ySplit="4" topLeftCell="A7" activePane="bottomLeft" state="frozen"/>
      <selection/>
      <selection pane="bottomLeft" activeCell="F9" sqref="F9"/>
    </sheetView>
  </sheetViews>
  <sheetFormatPr defaultColWidth="8.67592592592593" defaultRowHeight="14.25" customHeight="1"/>
  <cols>
    <col min="1" max="1" width="7" customWidth="1"/>
    <col min="2" max="2" width="38" customWidth="1"/>
    <col min="3" max="4" width="16" customWidth="1"/>
    <col min="5" max="5" width="15" customWidth="1"/>
    <col min="6" max="6" width="18" customWidth="1"/>
    <col min="7" max="7" width="14" customWidth="1"/>
    <col min="10" max="10" width="8" customWidth="1"/>
    <col min="11" max="11" width="38" customWidth="1"/>
    <col min="12" max="12" width="16" customWidth="1"/>
    <col min="13" max="14" width="20" customWidth="1"/>
    <col min="16" max="16" width="8" customWidth="1"/>
    <col min="17" max="17" width="38" customWidth="1"/>
    <col min="18" max="18" width="18" customWidth="1"/>
    <col min="19" max="19" width="22" customWidth="1"/>
    <col min="20" max="20" width="20" customWidth="1"/>
  </cols>
  <sheetData>
    <row r="1" ht="17.4" spans="1:20">
      <c r="A1" s="6" t="s">
        <v>461</v>
      </c>
      <c r="B1" s="6"/>
      <c r="C1" s="6"/>
      <c r="D1" s="6"/>
      <c r="E1" s="6"/>
      <c r="F1" s="6"/>
      <c r="G1" s="6"/>
    </row>
    <row r="2" spans="1:20">
      <c r="A2" s="7" t="s">
        <v>462</v>
      </c>
      <c r="B2" s="7"/>
      <c r="C2" s="7"/>
      <c r="D2" s="7"/>
      <c r="E2" s="7"/>
      <c r="F2" s="7"/>
      <c r="G2" s="7"/>
    </row>
    <row r="4" ht="31.5" customHeight="1" spans="1:20">
      <c r="A4" s="8" t="s">
        <v>463</v>
      </c>
      <c r="B4" s="8" t="s">
        <v>0</v>
      </c>
      <c r="C4" s="8" t="s">
        <v>464</v>
      </c>
      <c r="D4" s="8" t="s">
        <v>465</v>
      </c>
      <c r="E4" s="8" t="s">
        <v>466</v>
      </c>
      <c r="F4" s="8" t="s">
        <v>467</v>
      </c>
      <c r="G4" s="8" t="s">
        <v>468</v>
      </c>
      <c r="H4" s="9"/>
      <c r="I4" s="9"/>
      <c r="J4" s="10" t="s">
        <v>469</v>
      </c>
      <c r="K4" s="10" t="s">
        <v>470</v>
      </c>
      <c r="L4" s="10" t="s">
        <v>471</v>
      </c>
      <c r="M4" s="10" t="s">
        <v>472</v>
      </c>
      <c r="N4" s="10" t="s">
        <v>473</v>
      </c>
      <c r="O4" s="9"/>
      <c r="P4" s="11" t="s">
        <v>469</v>
      </c>
      <c r="Q4" s="11" t="s">
        <v>470</v>
      </c>
      <c r="R4" s="11" t="s">
        <v>474</v>
      </c>
      <c r="S4" s="11" t="s">
        <v>475</v>
      </c>
      <c r="T4" s="11" t="s">
        <v>473</v>
      </c>
    </row>
    <row r="5" ht="14.4" spans="1:20">
      <c r="A5" s="9">
        <v>1</v>
      </c>
      <c r="B5" s="12" t="s">
        <v>21</v>
      </c>
      <c r="C5" s="13">
        <f>SUMIFS(Данные!$D$2:$D$1001,Данные!$A$2:$A$1001,$B5)</f>
        <v>4097599</v>
      </c>
      <c r="D5" s="9">
        <f>COUNTIFS(Данные!$A$2:$A$1001,$B5)</f>
        <v>77</v>
      </c>
      <c r="E5" s="9" t="str">
        <f t="shared" ref="E5:E16" si="0">IF(INDEX($N$5:$N$16,MATCH($B5,$K$5:$K$16,0))&lt;=80%,"A",IF(INDEX($N$5:$N$16,MATCH($B5,$K$5:$K$16,0))&lt;=95%,"B","C"))</f>
        <v>B</v>
      </c>
      <c r="F5" s="9" t="str">
        <f t="shared" ref="F5:F16" si="1">IF(INDEX($T$5:$T$16,MATCH($B5,$Q$5:$Q$16,0))&lt;=80%,"A",IF(INDEX($T$5:$T$16,MATCH($B5,$Q$5:$Q$16,0))&lt;=95%,"B","C"))</f>
        <v>B</v>
      </c>
      <c r="G5" s="14">
        <f>IFERROR(AVERAGEIFS(Данные!$E$2:$E$1001,Данные!$A$2:$A$1001,$B5),"")</f>
        <v>6.4025974025974</v>
      </c>
      <c r="H5" s="9"/>
      <c r="I5" s="9"/>
      <c r="J5" s="9">
        <v>1</v>
      </c>
      <c r="K5" s="15" t="str">
        <f t="shared" ref="K5:K16" si="2">INDEX($B$5:$B$16,MATCH(LARGE($C$5:$C$16,J5),$C$5:$C$16,0))</f>
        <v>Фролов Сергей Викторович</v>
      </c>
      <c r="L5" s="13">
        <f t="shared" ref="L5:L16" si="3">LARGE($C$5:$C$16,J5)</f>
        <v>5935073</v>
      </c>
      <c r="M5" s="13">
        <f>SUM($L$5:L5)</f>
        <v>5935073</v>
      </c>
      <c r="N5" s="16">
        <f t="shared" ref="N5:N16" si="4">M5/SUM($L$5:$L$16)</f>
        <v>0.106485034676824</v>
      </c>
      <c r="O5" s="9"/>
      <c r="P5" s="9">
        <v>1</v>
      </c>
      <c r="Q5" s="15" t="str">
        <f t="shared" ref="Q5:Q16" si="5">INDEX($B$5:$B$16,MATCH(LARGE($D$5:$D$16,P5),$D$5:$D$16,0))</f>
        <v>Фролов Сергей Викторович</v>
      </c>
      <c r="R5" s="17">
        <f t="shared" ref="R5:R16" si="6">LARGE($D$5:$D$16,P5)</f>
        <v>103</v>
      </c>
      <c r="S5" s="17">
        <f>SUM($R$5:R5)</f>
        <v>103</v>
      </c>
      <c r="T5" s="16">
        <f t="shared" ref="T5:T16" si="7">S5/SUM($R$5:$R$16)</f>
        <v>0.103</v>
      </c>
    </row>
    <row r="6" ht="14.4" spans="1:20">
      <c r="A6" s="9">
        <v>2</v>
      </c>
      <c r="B6" s="12" t="s">
        <v>17</v>
      </c>
      <c r="C6" s="13">
        <f>SUMIFS(Данные!$D$2:$D$1001,Данные!$A$2:$A$1001,$B6)</f>
        <v>4170460</v>
      </c>
      <c r="D6" s="9">
        <f>COUNTIFS(Данные!$A$2:$A$1001,$B6)</f>
        <v>75</v>
      </c>
      <c r="E6" s="9" t="str">
        <f t="shared" si="0"/>
        <v>B</v>
      </c>
      <c r="F6" s="9" t="str">
        <f t="shared" si="1"/>
        <v>B</v>
      </c>
      <c r="G6" s="14">
        <f>IFERROR(AVERAGEIFS(Данные!$E$2:$E$1001,Данные!$A$2:$A$1001,$B6),"")</f>
        <v>5.81333333333333</v>
      </c>
      <c r="H6" s="9"/>
      <c r="I6" s="9"/>
      <c r="J6" s="9">
        <v>2</v>
      </c>
      <c r="K6" s="15" t="str">
        <f t="shared" si="2"/>
        <v>Петров Владимир Кириллович</v>
      </c>
      <c r="L6" s="13">
        <f t="shared" si="3"/>
        <v>5495417</v>
      </c>
      <c r="M6" s="13">
        <f>SUM($L$5:L6)</f>
        <v>11430490</v>
      </c>
      <c r="N6" s="16">
        <f t="shared" si="4"/>
        <v>0.205081912896959</v>
      </c>
      <c r="O6" s="9"/>
      <c r="P6" s="9">
        <v>2</v>
      </c>
      <c r="Q6" s="15" t="str">
        <f t="shared" si="5"/>
        <v>Петров Владимир Кириллович</v>
      </c>
      <c r="R6" s="17">
        <f t="shared" si="6"/>
        <v>98</v>
      </c>
      <c r="S6" s="17">
        <f>SUM($R$5:R6)</f>
        <v>201</v>
      </c>
      <c r="T6" s="16">
        <f t="shared" si="7"/>
        <v>0.201</v>
      </c>
    </row>
    <row r="7" ht="42.75" customHeight="1" spans="1:20">
      <c r="A7" s="9">
        <v>3</v>
      </c>
      <c r="B7" s="12" t="s">
        <v>48</v>
      </c>
      <c r="C7" s="13">
        <f>SUMIFS(Данные!$D$2:$D$1001,Данные!$A$2:$A$1001,$B7)</f>
        <v>4664146</v>
      </c>
      <c r="D7" s="9">
        <f>COUNTIFS(Данные!$A$2:$A$1001,$B7)</f>
        <v>84</v>
      </c>
      <c r="E7" s="9" t="str">
        <f t="shared" si="0"/>
        <v>A</v>
      </c>
      <c r="F7" s="9" t="str">
        <f t="shared" si="1"/>
        <v>A</v>
      </c>
      <c r="G7" s="14">
        <f>IFERROR(AVERAGEIFS(Данные!$E$2:$E$1001,Данные!$A$2:$A$1001,$B7),"")</f>
        <v>6.07142857142857</v>
      </c>
      <c r="H7" s="9"/>
      <c r="I7" s="9"/>
      <c r="J7" s="9">
        <v>3</v>
      </c>
      <c r="K7" s="15" t="str">
        <f t="shared" si="2"/>
        <v>Яковлев Артем Игоревич</v>
      </c>
      <c r="L7" s="13">
        <f t="shared" si="3"/>
        <v>5059050</v>
      </c>
      <c r="M7" s="13">
        <f>SUM($L$5:L7)</f>
        <v>16489540</v>
      </c>
      <c r="N7" s="16">
        <f t="shared" si="4"/>
        <v>0.295849644765091</v>
      </c>
      <c r="O7" s="9"/>
      <c r="P7" s="9">
        <v>3</v>
      </c>
      <c r="Q7" s="15" t="str">
        <f t="shared" si="5"/>
        <v>Яковлев Артем Игоревич</v>
      </c>
      <c r="R7" s="17">
        <f t="shared" si="6"/>
        <v>93</v>
      </c>
      <c r="S7" s="17">
        <f>SUM($R$5:R7)</f>
        <v>294</v>
      </c>
      <c r="T7" s="16">
        <f t="shared" si="7"/>
        <v>0.294</v>
      </c>
    </row>
    <row r="8" ht="14.4" spans="1:20">
      <c r="A8" s="9">
        <v>4</v>
      </c>
      <c r="B8" s="18" t="s">
        <v>33</v>
      </c>
      <c r="C8" s="19">
        <f>SUMIFS(Данные!$D$2:$D$1001,Данные!$A$2:$A$1001,$B8)</f>
        <v>4828036</v>
      </c>
      <c r="D8" s="20">
        <f>COUNTIFS(Данные!$A$2:$A$1001,$B8)</f>
        <v>81</v>
      </c>
      <c r="E8" s="9" t="str">
        <f t="shared" si="0"/>
        <v>A</v>
      </c>
      <c r="F8" s="9" t="str">
        <f t="shared" si="1"/>
        <v>A</v>
      </c>
      <c r="G8" s="14">
        <f>IFERROR(AVERAGEIFS(Данные!$E$2:$E$1001,Данные!$A$2:$A$1001,$B8),"")</f>
        <v>5.88888888888889</v>
      </c>
      <c r="H8" s="9"/>
      <c r="I8" s="9"/>
      <c r="J8" s="9">
        <v>4</v>
      </c>
      <c r="K8" s="15" t="str">
        <f t="shared" si="2"/>
        <v>Семенова Ирина Валерьевна</v>
      </c>
      <c r="L8" s="13">
        <f t="shared" si="3"/>
        <v>4864462</v>
      </c>
      <c r="M8" s="13">
        <f>SUM($L$5:L8)</f>
        <v>21354002</v>
      </c>
      <c r="N8" s="16">
        <f t="shared" si="4"/>
        <v>0.383126145787756</v>
      </c>
      <c r="O8" s="9"/>
      <c r="P8" s="9">
        <v>4</v>
      </c>
      <c r="Q8" s="15" t="str">
        <f t="shared" si="5"/>
        <v>Семенова Ирина Валерьевна</v>
      </c>
      <c r="R8" s="17">
        <f t="shared" si="6"/>
        <v>90</v>
      </c>
      <c r="S8" s="17">
        <f>SUM($R$5:R8)</f>
        <v>384</v>
      </c>
      <c r="T8" s="16">
        <f t="shared" si="7"/>
        <v>0.384</v>
      </c>
    </row>
    <row r="9" ht="14.4" spans="1:20">
      <c r="A9" s="9">
        <v>5</v>
      </c>
      <c r="B9" s="18" t="s">
        <v>19</v>
      </c>
      <c r="C9" s="19">
        <f>SUMIFS(Данные!$D$2:$D$1001,Данные!$A$2:$A$1001,$B9)</f>
        <v>4464128</v>
      </c>
      <c r="D9" s="20">
        <f>COUNTIFS(Данные!$A$2:$A$1001,$B9)</f>
        <v>78</v>
      </c>
      <c r="E9" s="9" t="str">
        <f t="shared" si="0"/>
        <v>A</v>
      </c>
      <c r="F9" s="9" t="str">
        <f t="shared" si="1"/>
        <v>A</v>
      </c>
      <c r="G9" s="14">
        <f>IFERROR(AVERAGEIFS(Данные!$E$2:$E$1001,Данные!$A$2:$A$1001,$B9),"")</f>
        <v>6.41025641025641</v>
      </c>
      <c r="H9" s="9"/>
      <c r="I9" s="9"/>
      <c r="J9" s="9">
        <v>5</v>
      </c>
      <c r="K9" s="15" t="str">
        <f t="shared" si="2"/>
        <v>Ткаченко Андрей Олегович</v>
      </c>
      <c r="L9" s="13">
        <f t="shared" si="3"/>
        <v>4842247</v>
      </c>
      <c r="M9" s="13">
        <f>SUM($L$5:L9)</f>
        <v>26196249</v>
      </c>
      <c r="N9" s="16">
        <f t="shared" si="4"/>
        <v>0.470004072935198</v>
      </c>
      <c r="O9" s="9"/>
      <c r="P9" s="9">
        <v>5</v>
      </c>
      <c r="Q9" s="15" t="str">
        <f t="shared" si="5"/>
        <v>Ткаченко Андрей Олегович</v>
      </c>
      <c r="R9" s="17">
        <f t="shared" si="6"/>
        <v>87</v>
      </c>
      <c r="S9" s="17">
        <f>SUM($R$5:R9)</f>
        <v>471</v>
      </c>
      <c r="T9" s="16">
        <f t="shared" si="7"/>
        <v>0.471</v>
      </c>
    </row>
    <row r="10" ht="14.4" spans="1:20">
      <c r="A10" s="9">
        <v>6</v>
      </c>
      <c r="B10" s="18" t="s">
        <v>8</v>
      </c>
      <c r="C10" s="19">
        <f>SUMIFS(Данные!$D$2:$D$1001,Данные!$A$2:$A$1001,$B10)</f>
        <v>4346131</v>
      </c>
      <c r="D10" s="20">
        <f>COUNTIFS(Данные!$A$2:$A$1001,$B10)</f>
        <v>80</v>
      </c>
      <c r="E10" s="9" t="str">
        <f t="shared" si="0"/>
        <v>A</v>
      </c>
      <c r="F10" s="9" t="str">
        <f t="shared" si="1"/>
        <v>A</v>
      </c>
      <c r="G10" s="14">
        <f>IFERROR(AVERAGEIFS(Данные!$E$2:$E$1001,Данные!$A$2:$A$1001,$B10),"")</f>
        <v>6.05</v>
      </c>
      <c r="H10" s="9"/>
      <c r="I10" s="9"/>
      <c r="J10" s="9">
        <v>6</v>
      </c>
      <c r="K10" s="15" t="str">
        <f t="shared" si="2"/>
        <v>Кузнецов Дмитрий Львович</v>
      </c>
      <c r="L10" s="13">
        <f t="shared" si="3"/>
        <v>4828036</v>
      </c>
      <c r="M10" s="13">
        <f>SUM($L$5:L10)</f>
        <v>31024285</v>
      </c>
      <c r="N10" s="16">
        <f t="shared" si="4"/>
        <v>0.556627031217422</v>
      </c>
      <c r="O10" s="9"/>
      <c r="P10" s="9">
        <v>6</v>
      </c>
      <c r="Q10" s="15" t="str">
        <f t="shared" si="5"/>
        <v>Иванова Анна Сергеевна</v>
      </c>
      <c r="R10" s="17">
        <f t="shared" si="6"/>
        <v>84</v>
      </c>
      <c r="S10" s="17">
        <f>SUM($R$5:R10)</f>
        <v>555</v>
      </c>
      <c r="T10" s="16">
        <f t="shared" si="7"/>
        <v>0.555</v>
      </c>
    </row>
    <row r="11" ht="14.4" spans="1:20">
      <c r="A11" s="9">
        <v>7</v>
      </c>
      <c r="B11" s="18" t="s">
        <v>12</v>
      </c>
      <c r="C11" s="19">
        <f>SUMIFS(Данные!$D$2:$D$1001,Данные!$A$2:$A$1001,$B11)</f>
        <v>5495417</v>
      </c>
      <c r="D11" s="20">
        <f>COUNTIFS(Данные!$A$2:$A$1001,$B11)</f>
        <v>98</v>
      </c>
      <c r="E11" s="9" t="str">
        <f t="shared" si="0"/>
        <v>A</v>
      </c>
      <c r="F11" s="9" t="str">
        <f t="shared" si="1"/>
        <v>A</v>
      </c>
      <c r="G11" s="14">
        <f>IFERROR(AVERAGEIFS(Данные!$E$2:$E$1001,Данные!$A$2:$A$1001,$B11),"")</f>
        <v>6.41836734693878</v>
      </c>
      <c r="H11" s="9"/>
      <c r="I11" s="9"/>
      <c r="J11" s="9">
        <v>7</v>
      </c>
      <c r="K11" s="15" t="str">
        <f t="shared" si="2"/>
        <v>Иванова Анна Сергеевна</v>
      </c>
      <c r="L11" s="13">
        <f t="shared" si="3"/>
        <v>4664146</v>
      </c>
      <c r="M11" s="13">
        <f>SUM($L$5:L11)</f>
        <v>35688431</v>
      </c>
      <c r="N11" s="16">
        <f t="shared" si="4"/>
        <v>0.640309531592358</v>
      </c>
      <c r="O11" s="9"/>
      <c r="P11" s="9">
        <v>7</v>
      </c>
      <c r="Q11" s="15" t="str">
        <f t="shared" si="5"/>
        <v>Кузнецов Дмитрий Львович</v>
      </c>
      <c r="R11" s="17">
        <f t="shared" si="6"/>
        <v>81</v>
      </c>
      <c r="S11" s="17">
        <f>SUM($R$5:R11)</f>
        <v>636</v>
      </c>
      <c r="T11" s="16">
        <f t="shared" si="7"/>
        <v>0.636</v>
      </c>
    </row>
    <row r="12" ht="14.4" spans="1:20">
      <c r="A12" s="9">
        <v>8</v>
      </c>
      <c r="B12" s="18" t="s">
        <v>14</v>
      </c>
      <c r="C12" s="19">
        <f>SUMIFS(Данные!$D$2:$D$1001,Данные!$A$2:$A$1001,$B12)</f>
        <v>4864462</v>
      </c>
      <c r="D12" s="20">
        <f>COUNTIFS(Данные!$A$2:$A$1001,$B12)</f>
        <v>90</v>
      </c>
      <c r="E12" s="9" t="str">
        <f t="shared" si="0"/>
        <v>A</v>
      </c>
      <c r="F12" s="9" t="str">
        <f t="shared" si="1"/>
        <v>A</v>
      </c>
      <c r="G12" s="14">
        <f>IFERROR(AVERAGEIFS(Данные!$E$2:$E$1001,Данные!$A$2:$A$1001,$B12),"")</f>
        <v>5.67777777777778</v>
      </c>
      <c r="H12" s="9"/>
      <c r="I12" s="9"/>
      <c r="J12" s="9">
        <v>8</v>
      </c>
      <c r="K12" s="15" t="str">
        <f t="shared" si="2"/>
        <v>Новикова Ольга Петровна</v>
      </c>
      <c r="L12" s="13">
        <f t="shared" si="3"/>
        <v>4464128</v>
      </c>
      <c r="M12" s="13">
        <f>SUM($L$5:L12)</f>
        <v>40152559</v>
      </c>
      <c r="N12" s="16">
        <f t="shared" si="4"/>
        <v>0.72040337793288</v>
      </c>
      <c r="O12" s="9"/>
      <c r="P12" s="9">
        <v>8</v>
      </c>
      <c r="Q12" s="15" t="str">
        <f t="shared" si="5"/>
        <v>Орлов Павел Денисович</v>
      </c>
      <c r="R12" s="17">
        <f t="shared" si="6"/>
        <v>80</v>
      </c>
      <c r="S12" s="17">
        <f>SUM($R$5:R12)</f>
        <v>716</v>
      </c>
      <c r="T12" s="16">
        <f t="shared" si="7"/>
        <v>0.716</v>
      </c>
    </row>
    <row r="13" ht="14.4" spans="1:20">
      <c r="A13" s="9">
        <v>9</v>
      </c>
      <c r="B13" s="18" t="s">
        <v>30</v>
      </c>
      <c r="C13" s="19">
        <f>SUMIFS(Данные!$D$2:$D$1001,Данные!$A$2:$A$1001,$B13)</f>
        <v>2969468</v>
      </c>
      <c r="D13" s="20">
        <f>COUNTIFS(Данные!$A$2:$A$1001,$B13)</f>
        <v>54</v>
      </c>
      <c r="E13" s="9" t="str">
        <f t="shared" si="0"/>
        <v>C</v>
      </c>
      <c r="F13" s="9" t="str">
        <f t="shared" si="1"/>
        <v>C</v>
      </c>
      <c r="G13" s="14">
        <f>IFERROR(AVERAGEIFS(Данные!$E$2:$E$1001,Данные!$A$2:$A$1001,$B13),"")</f>
        <v>6.33333333333333</v>
      </c>
      <c r="H13" s="9"/>
      <c r="I13" s="9"/>
      <c r="J13" s="9">
        <v>9</v>
      </c>
      <c r="K13" s="15" t="str">
        <f t="shared" si="2"/>
        <v>Орлов Павел Денисович</v>
      </c>
      <c r="L13" s="13">
        <f t="shared" si="3"/>
        <v>4346131</v>
      </c>
      <c r="M13" s="13">
        <f>SUM($L$5:L13)</f>
        <v>44498690</v>
      </c>
      <c r="N13" s="16">
        <f t="shared" si="4"/>
        <v>0.798380162758445</v>
      </c>
      <c r="O13" s="9"/>
      <c r="P13" s="9">
        <v>9</v>
      </c>
      <c r="Q13" s="15" t="str">
        <f t="shared" si="5"/>
        <v>Новикова Ольга Петровна</v>
      </c>
      <c r="R13" s="17">
        <f t="shared" si="6"/>
        <v>78</v>
      </c>
      <c r="S13" s="17">
        <f>SUM($R$5:R13)</f>
        <v>794</v>
      </c>
      <c r="T13" s="16">
        <f t="shared" si="7"/>
        <v>0.794</v>
      </c>
    </row>
    <row r="14" ht="14.4" spans="1:20">
      <c r="A14" s="9">
        <v>10</v>
      </c>
      <c r="B14" s="18" t="s">
        <v>10</v>
      </c>
      <c r="C14" s="19">
        <f>SUMIFS(Данные!$D$2:$D$1001,Данные!$A$2:$A$1001,$B14)</f>
        <v>4842247</v>
      </c>
      <c r="D14" s="20">
        <f>COUNTIFS(Данные!$A$2:$A$1001,$B14)</f>
        <v>87</v>
      </c>
      <c r="E14" s="9" t="str">
        <f t="shared" si="0"/>
        <v>A</v>
      </c>
      <c r="F14" s="9" t="str">
        <f t="shared" si="1"/>
        <v>A</v>
      </c>
      <c r="G14" s="14">
        <f>IFERROR(AVERAGEIFS(Данные!$E$2:$E$1001,Данные!$A$2:$A$1001,$B14),"")</f>
        <v>5.7816091954023</v>
      </c>
      <c r="H14" s="9"/>
      <c r="I14" s="9"/>
      <c r="J14" s="9">
        <v>10</v>
      </c>
      <c r="K14" s="15" t="str">
        <f t="shared" si="2"/>
        <v>Громова Мария Ильинична</v>
      </c>
      <c r="L14" s="13">
        <f t="shared" si="3"/>
        <v>4170460</v>
      </c>
      <c r="M14" s="13">
        <f>SUM($L$5:L14)</f>
        <v>48669150</v>
      </c>
      <c r="N14" s="16">
        <f t="shared" si="4"/>
        <v>0.873205119034182</v>
      </c>
      <c r="O14" s="9"/>
      <c r="P14" s="9">
        <v>10</v>
      </c>
      <c r="Q14" s="15" t="str">
        <f t="shared" si="5"/>
        <v>Белов Алексей Константинович</v>
      </c>
      <c r="R14" s="17">
        <f t="shared" si="6"/>
        <v>77</v>
      </c>
      <c r="S14" s="17">
        <f>SUM($R$5:R14)</f>
        <v>871</v>
      </c>
      <c r="T14" s="16">
        <f t="shared" si="7"/>
        <v>0.871</v>
      </c>
    </row>
    <row r="15" ht="14.4" spans="1:20">
      <c r="A15" s="9">
        <v>11</v>
      </c>
      <c r="B15" s="18" t="s">
        <v>5</v>
      </c>
      <c r="C15" s="19">
        <f>SUMIFS(Данные!$D$2:$D$1001,Данные!$A$2:$A$1001,$B15)</f>
        <v>5935073</v>
      </c>
      <c r="D15" s="20">
        <f>COUNTIFS(Данные!$A$2:$A$1001,$B15)</f>
        <v>103</v>
      </c>
      <c r="E15" s="9" t="str">
        <f t="shared" si="0"/>
        <v>A</v>
      </c>
      <c r="F15" s="9" t="str">
        <f t="shared" si="1"/>
        <v>A</v>
      </c>
      <c r="G15" s="14">
        <f>IFERROR(AVERAGEIFS(Данные!$E$2:$E$1001,Данные!$A$2:$A$1001,$B15),"")</f>
        <v>6.28155339805825</v>
      </c>
      <c r="H15" s="9"/>
      <c r="I15" s="9"/>
      <c r="J15" s="9">
        <v>11</v>
      </c>
      <c r="K15" s="15" t="str">
        <f t="shared" si="2"/>
        <v>Белов Алексей Константинович</v>
      </c>
      <c r="L15" s="13">
        <f t="shared" si="3"/>
        <v>4097599</v>
      </c>
      <c r="M15" s="13">
        <f>SUM($L$5:L15)</f>
        <v>52766749</v>
      </c>
      <c r="N15" s="16">
        <f t="shared" si="4"/>
        <v>0.946722828354138</v>
      </c>
      <c r="O15" s="9"/>
      <c r="P15" s="9">
        <v>11</v>
      </c>
      <c r="Q15" s="15" t="str">
        <f t="shared" si="5"/>
        <v>Громова Мария Ильинична</v>
      </c>
      <c r="R15" s="17">
        <f t="shared" si="6"/>
        <v>75</v>
      </c>
      <c r="S15" s="17">
        <f>SUM($R$5:R15)</f>
        <v>946</v>
      </c>
      <c r="T15" s="16">
        <f t="shared" si="7"/>
        <v>0.946</v>
      </c>
    </row>
    <row r="16" ht="14.4" spans="1:20">
      <c r="A16" s="9">
        <v>12</v>
      </c>
      <c r="B16" s="18" t="s">
        <v>35</v>
      </c>
      <c r="C16" s="19">
        <f>SUMIFS(Данные!$D$2:$D$1001,Данные!$A$2:$A$1001,$B16)</f>
        <v>5059050</v>
      </c>
      <c r="D16" s="20">
        <f>COUNTIFS(Данные!$A$2:$A$1001,$B16)</f>
        <v>93</v>
      </c>
      <c r="E16" s="9" t="str">
        <f t="shared" si="0"/>
        <v>A</v>
      </c>
      <c r="F16" s="9" t="str">
        <f t="shared" si="1"/>
        <v>A</v>
      </c>
      <c r="G16" s="14">
        <f>IFERROR(AVERAGEIFS(Данные!$E$2:$E$1001,Данные!$A$2:$A$1001,$B16),"")</f>
        <v>6.27956989247312</v>
      </c>
      <c r="H16" s="9"/>
      <c r="I16" s="9"/>
      <c r="J16" s="9">
        <v>12</v>
      </c>
      <c r="K16" s="15" t="str">
        <f t="shared" si="2"/>
        <v>Сидорова Елена Васильевна</v>
      </c>
      <c r="L16" s="13">
        <f t="shared" si="3"/>
        <v>2969468</v>
      </c>
      <c r="M16" s="13">
        <f>SUM($L$5:L16)</f>
        <v>55736217</v>
      </c>
      <c r="N16" s="16">
        <f t="shared" si="4"/>
        <v>1</v>
      </c>
      <c r="O16" s="9"/>
      <c r="P16" s="9">
        <v>12</v>
      </c>
      <c r="Q16" s="15" t="str">
        <f t="shared" si="5"/>
        <v>Сидорова Елена Васильевна</v>
      </c>
      <c r="R16" s="17">
        <f t="shared" si="6"/>
        <v>54</v>
      </c>
      <c r="S16" s="17">
        <f>SUM($R$5:R16)</f>
        <v>1000</v>
      </c>
      <c r="T16" s="16">
        <f t="shared" si="7"/>
        <v>1</v>
      </c>
    </row>
    <row r="17" ht="14.4" spans="1:7">
      <c r="B17" s="2"/>
      <c r="C17" s="2"/>
      <c r="D17" s="2"/>
    </row>
    <row r="18" ht="14.4" spans="1:7">
      <c r="B18" s="2"/>
      <c r="C18" s="2"/>
      <c r="D18" s="2"/>
    </row>
    <row r="19" ht="14.4" spans="1:7">
      <c r="A19" s="21"/>
      <c r="B19" s="2"/>
      <c r="C19" s="2"/>
      <c r="D19" s="2"/>
    </row>
    <row r="20" ht="14.4" spans="1:7">
      <c r="A20" s="22"/>
      <c r="B20" s="22"/>
      <c r="C20" s="22"/>
      <c r="D20" s="22"/>
      <c r="E20" s="22"/>
      <c r="F20" s="22"/>
      <c r="G20" s="22"/>
    </row>
    <row r="21" ht="14.4" spans="1:7">
      <c r="A21" s="22"/>
      <c r="B21" s="22"/>
      <c r="C21" s="22"/>
      <c r="D21" s="22"/>
      <c r="E21" s="22"/>
      <c r="F21" s="22"/>
      <c r="G21" s="22"/>
    </row>
  </sheetData>
  <autoFilter xmlns:etc="http://www.wps.cn/officeDocument/2017/etCustomData" ref="A4:G16" etc:filterBottomFollowUsedRange="0">
    <extLst/>
  </autoFilter>
  <mergeCells count="4">
    <mergeCell ref="A1:G1"/>
    <mergeCell ref="A2:G2"/>
    <mergeCell ref="A20:G20"/>
    <mergeCell ref="A21:G21"/>
  </mergeCells>
  <conditionalFormatting sqref="E5:E16">
    <cfRule type="cellIs" dxfId="0" priority="2" operator="equal">
      <formula>"A"</formula>
    </cfRule>
    <cfRule type="cellIs" dxfId="1" priority="3" operator="equal">
      <formula>"B"</formula>
    </cfRule>
    <cfRule type="cellIs" dxfId="2" priority="4" operator="equal">
      <formula>"C"</formula>
    </cfRule>
  </conditionalFormatting>
  <conditionalFormatting sqref="F5:F16">
    <cfRule type="cellIs" dxfId="0" priority="5" operator="equal">
      <formula>"A"</formula>
    </cfRule>
    <cfRule type="cellIs" dxfId="1" priority="6" operator="equal">
      <formula>"B"</formula>
    </cfRule>
    <cfRule type="cellIs" dxfId="2" priority="7" operator="equal">
      <formula>"C"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workbookViewId="0">
      <selection activeCell="A1" sqref="A1"/>
    </sheetView>
  </sheetViews>
  <sheetFormatPr defaultColWidth="8.67592592592593" defaultRowHeight="14.25" customHeight="1"/>
  <cols>
    <col min="1" max="1" width="32" customWidth="1"/>
  </cols>
  <sheetData>
    <row r="1" customHeight="1" spans="1:21">
      <c r="A1" s="1" t="s">
        <v>476</v>
      </c>
      <c r="B1" s="2" t="s">
        <v>477</v>
      </c>
      <c r="C1" s="2" t="s">
        <v>478</v>
      </c>
      <c r="D1" s="2" t="s">
        <v>479</v>
      </c>
      <c r="E1" s="2" t="s">
        <v>480</v>
      </c>
      <c r="F1" s="2" t="s">
        <v>481</v>
      </c>
      <c r="G1" s="2" t="s">
        <v>482</v>
      </c>
      <c r="H1" s="2" t="s">
        <v>483</v>
      </c>
      <c r="I1" s="2" t="s">
        <v>484</v>
      </c>
      <c r="J1" s="2" t="s">
        <v>485</v>
      </c>
      <c r="K1" s="2" t="s">
        <v>486</v>
      </c>
      <c r="L1" s="2" t="s">
        <v>487</v>
      </c>
      <c r="M1" s="2" t="s">
        <v>488</v>
      </c>
      <c r="N1" s="2" t="s">
        <v>489</v>
      </c>
      <c r="O1" s="3" t="s">
        <v>490</v>
      </c>
      <c r="P1" s="3" t="s">
        <v>491</v>
      </c>
    </row>
    <row r="2" customHeight="1" spans="1:21">
      <c r="A2" s="2" t="s">
        <v>492</v>
      </c>
      <c r="B2" s="2">
        <v>26697</v>
      </c>
      <c r="C2" s="2">
        <v>0</v>
      </c>
      <c r="D2" s="2">
        <v>0</v>
      </c>
      <c r="E2" s="2">
        <v>171009</v>
      </c>
      <c r="F2" s="2">
        <v>96595</v>
      </c>
      <c r="G2" s="2">
        <v>171724</v>
      </c>
      <c r="H2" s="2">
        <v>0</v>
      </c>
      <c r="I2" s="2">
        <v>34347</v>
      </c>
      <c r="J2" s="2">
        <v>56249</v>
      </c>
      <c r="K2" s="2">
        <v>54293</v>
      </c>
      <c r="L2" s="2">
        <v>0</v>
      </c>
      <c r="M2" s="2">
        <v>52878</v>
      </c>
      <c r="N2" s="2">
        <v>0</v>
      </c>
      <c r="O2" s="4" t="s">
        <v>493</v>
      </c>
      <c r="P2" s="4" t="s">
        <v>494</v>
      </c>
    </row>
    <row r="3" customHeight="1" spans="1:21">
      <c r="A3" s="2" t="s">
        <v>495</v>
      </c>
      <c r="B3" s="2">
        <v>83636</v>
      </c>
      <c r="C3" s="2">
        <v>0</v>
      </c>
      <c r="D3" s="2">
        <v>183102</v>
      </c>
      <c r="E3" s="2">
        <v>249693</v>
      </c>
      <c r="F3" s="2">
        <v>0</v>
      </c>
      <c r="G3" s="2">
        <v>48195</v>
      </c>
      <c r="H3" s="2">
        <v>94917</v>
      </c>
      <c r="I3" s="2">
        <v>0</v>
      </c>
      <c r="J3" s="2">
        <v>0</v>
      </c>
      <c r="K3" s="2">
        <v>93987</v>
      </c>
      <c r="L3" s="2">
        <v>168757</v>
      </c>
      <c r="M3" s="2">
        <v>0</v>
      </c>
      <c r="N3" s="2">
        <v>0</v>
      </c>
      <c r="O3" s="4" t="s">
        <v>493</v>
      </c>
      <c r="P3" s="4" t="s">
        <v>494</v>
      </c>
    </row>
    <row r="4" customHeight="1" spans="1:21">
      <c r="A4" s="2" t="s">
        <v>496</v>
      </c>
      <c r="B4" s="2">
        <v>96960</v>
      </c>
      <c r="C4" s="2">
        <v>0</v>
      </c>
      <c r="D4" s="2">
        <v>0</v>
      </c>
      <c r="E4" s="2">
        <v>26999</v>
      </c>
      <c r="F4" s="2">
        <v>0</v>
      </c>
      <c r="G4" s="2">
        <v>88875</v>
      </c>
      <c r="H4" s="2">
        <v>178694</v>
      </c>
      <c r="I4" s="2">
        <v>0</v>
      </c>
      <c r="J4" s="2">
        <v>148632</v>
      </c>
      <c r="K4" s="2">
        <v>0</v>
      </c>
      <c r="L4" s="2">
        <v>155674</v>
      </c>
      <c r="M4" s="2">
        <v>0</v>
      </c>
      <c r="N4" s="2">
        <v>0</v>
      </c>
      <c r="O4" s="4" t="s">
        <v>493</v>
      </c>
      <c r="P4" s="4" t="s">
        <v>494</v>
      </c>
    </row>
    <row r="5" customHeight="1" spans="1:21">
      <c r="A5" s="2" t="s">
        <v>497</v>
      </c>
      <c r="B5" s="2">
        <v>88337</v>
      </c>
      <c r="C5" s="2">
        <v>0</v>
      </c>
      <c r="D5" s="2">
        <v>96212</v>
      </c>
      <c r="E5" s="2">
        <v>25924</v>
      </c>
      <c r="F5" s="2">
        <v>94192</v>
      </c>
      <c r="G5" s="2">
        <v>65974</v>
      </c>
      <c r="H5" s="2">
        <v>0</v>
      </c>
      <c r="I5" s="2">
        <v>79115</v>
      </c>
      <c r="J5" s="2">
        <v>223514</v>
      </c>
      <c r="K5" s="2">
        <v>0</v>
      </c>
      <c r="L5" s="2">
        <v>0</v>
      </c>
      <c r="M5" s="2">
        <v>62832</v>
      </c>
      <c r="N5" s="2">
        <v>0</v>
      </c>
      <c r="O5" s="4" t="s">
        <v>493</v>
      </c>
      <c r="P5" s="4" t="s">
        <v>494</v>
      </c>
    </row>
    <row r="6" customHeight="1" spans="1:21">
      <c r="A6" s="2" t="s">
        <v>498</v>
      </c>
      <c r="B6" s="2">
        <v>0</v>
      </c>
      <c r="C6" s="2">
        <v>24392</v>
      </c>
      <c r="D6" s="2">
        <v>71543</v>
      </c>
      <c r="E6" s="2">
        <v>0</v>
      </c>
      <c r="F6" s="2">
        <v>91273</v>
      </c>
      <c r="G6" s="2">
        <v>0</v>
      </c>
      <c r="H6" s="2">
        <v>55827</v>
      </c>
      <c r="I6" s="2">
        <v>173832</v>
      </c>
      <c r="J6" s="2">
        <v>70768</v>
      </c>
      <c r="K6" s="2">
        <v>0</v>
      </c>
      <c r="L6" s="2">
        <v>108995</v>
      </c>
      <c r="M6" s="2">
        <v>69134</v>
      </c>
      <c r="N6" s="2">
        <v>0</v>
      </c>
      <c r="O6" s="4" t="s">
        <v>493</v>
      </c>
      <c r="P6" s="4" t="s">
        <v>499</v>
      </c>
    </row>
    <row r="7" customHeight="1" spans="1:21">
      <c r="A7" s="2" t="s">
        <v>500</v>
      </c>
      <c r="B7" s="2">
        <v>0</v>
      </c>
      <c r="C7" s="2">
        <v>65031</v>
      </c>
      <c r="D7" s="2">
        <v>0</v>
      </c>
      <c r="E7" s="2">
        <v>77692</v>
      </c>
      <c r="F7" s="2">
        <v>196223</v>
      </c>
      <c r="G7" s="2">
        <v>0</v>
      </c>
      <c r="H7" s="2">
        <v>0</v>
      </c>
      <c r="I7" s="2">
        <v>73261</v>
      </c>
      <c r="J7" s="2">
        <v>43042</v>
      </c>
      <c r="K7" s="2">
        <v>119410</v>
      </c>
      <c r="L7" s="2">
        <v>41565</v>
      </c>
      <c r="M7" s="2">
        <v>56513</v>
      </c>
      <c r="N7" s="2">
        <v>0</v>
      </c>
      <c r="O7" s="4" t="s">
        <v>493</v>
      </c>
      <c r="P7" s="4" t="s">
        <v>499</v>
      </c>
    </row>
    <row r="8" customHeight="1" spans="1:21">
      <c r="A8" s="2" t="s">
        <v>501</v>
      </c>
      <c r="B8" s="2">
        <v>0</v>
      </c>
      <c r="C8" s="2">
        <v>92917</v>
      </c>
      <c r="D8" s="2">
        <v>0</v>
      </c>
      <c r="E8" s="2">
        <v>0</v>
      </c>
      <c r="F8" s="2">
        <v>27017</v>
      </c>
      <c r="G8" s="2">
        <v>0</v>
      </c>
      <c r="H8" s="2">
        <v>42111</v>
      </c>
      <c r="I8" s="2">
        <v>0</v>
      </c>
      <c r="J8" s="2">
        <v>131929</v>
      </c>
      <c r="K8" s="2">
        <v>0</v>
      </c>
      <c r="L8" s="2">
        <v>266547</v>
      </c>
      <c r="M8" s="2">
        <v>94760</v>
      </c>
      <c r="N8" s="2">
        <v>0</v>
      </c>
      <c r="O8" s="4" t="s">
        <v>493</v>
      </c>
      <c r="P8" s="4" t="s">
        <v>494</v>
      </c>
    </row>
    <row r="9" customHeight="1" spans="1:21">
      <c r="A9" s="2" t="s">
        <v>502</v>
      </c>
      <c r="B9" s="2">
        <v>177824</v>
      </c>
      <c r="C9" s="2">
        <v>0</v>
      </c>
      <c r="D9" s="2">
        <v>49923</v>
      </c>
      <c r="E9" s="2">
        <v>0</v>
      </c>
      <c r="F9" s="2">
        <v>65473</v>
      </c>
      <c r="G9" s="2">
        <v>0</v>
      </c>
      <c r="H9" s="2">
        <v>0</v>
      </c>
      <c r="I9" s="2">
        <v>49310</v>
      </c>
      <c r="J9" s="2">
        <v>209213</v>
      </c>
      <c r="K9" s="2">
        <v>0</v>
      </c>
      <c r="L9" s="2">
        <v>84698</v>
      </c>
      <c r="M9" s="2">
        <v>0</v>
      </c>
      <c r="N9" s="2">
        <v>0</v>
      </c>
      <c r="O9" s="4" t="s">
        <v>503</v>
      </c>
      <c r="P9" s="4" t="s">
        <v>494</v>
      </c>
    </row>
    <row r="10" customHeight="1" spans="1:21">
      <c r="A10" s="2" t="s">
        <v>504</v>
      </c>
      <c r="B10" s="2">
        <v>143338</v>
      </c>
      <c r="C10" s="2">
        <v>37942</v>
      </c>
      <c r="D10" s="2">
        <v>0</v>
      </c>
      <c r="E10" s="2">
        <v>54817</v>
      </c>
      <c r="F10" s="2">
        <v>50393</v>
      </c>
      <c r="G10" s="2">
        <v>81143</v>
      </c>
      <c r="H10" s="2">
        <v>0</v>
      </c>
      <c r="I10" s="2">
        <v>154545</v>
      </c>
      <c r="J10" s="2">
        <v>0</v>
      </c>
      <c r="K10" s="2">
        <v>24884</v>
      </c>
      <c r="L10" s="2">
        <v>25110</v>
      </c>
      <c r="M10" s="2">
        <v>0</v>
      </c>
      <c r="N10" s="2">
        <v>0</v>
      </c>
      <c r="O10" s="4" t="s">
        <v>503</v>
      </c>
      <c r="P10" s="4" t="s">
        <v>494</v>
      </c>
    </row>
    <row r="11" customHeight="1" spans="1:21">
      <c r="A11" s="2" t="s">
        <v>505</v>
      </c>
      <c r="B11" s="2">
        <v>94347</v>
      </c>
      <c r="C11" s="2">
        <v>42357</v>
      </c>
      <c r="D11" s="2">
        <v>157912</v>
      </c>
      <c r="E11" s="2">
        <v>0</v>
      </c>
      <c r="F11" s="2">
        <v>120569</v>
      </c>
      <c r="G11" s="2">
        <v>0</v>
      </c>
      <c r="H11" s="2">
        <v>99485</v>
      </c>
      <c r="I11" s="2">
        <v>0</v>
      </c>
      <c r="J11" s="2">
        <v>0</v>
      </c>
      <c r="K11" s="2">
        <v>13707</v>
      </c>
      <c r="L11" s="2">
        <v>0</v>
      </c>
      <c r="M11" s="2">
        <v>0</v>
      </c>
      <c r="N11" s="2">
        <v>0</v>
      </c>
      <c r="O11" s="4" t="s">
        <v>503</v>
      </c>
      <c r="P11" s="4" t="s">
        <v>506</v>
      </c>
    </row>
    <row r="12" customHeight="1" spans="1:21">
      <c r="A12" s="5" t="s">
        <v>507</v>
      </c>
      <c r="B12" s="2">
        <v>55023</v>
      </c>
      <c r="C12" s="2">
        <v>70341</v>
      </c>
      <c r="D12" s="2">
        <v>0</v>
      </c>
      <c r="E12" s="2">
        <v>0</v>
      </c>
      <c r="F12" s="2">
        <v>199705</v>
      </c>
      <c r="G12" s="2">
        <v>0</v>
      </c>
      <c r="H12" s="2">
        <v>67883</v>
      </c>
      <c r="I12" s="2">
        <v>0</v>
      </c>
      <c r="J12" s="2">
        <v>0</v>
      </c>
      <c r="K12" s="2">
        <v>0</v>
      </c>
      <c r="L12" s="2">
        <v>41003</v>
      </c>
      <c r="M12" s="2">
        <v>89579</v>
      </c>
      <c r="N12" s="2">
        <v>0</v>
      </c>
      <c r="O12" s="4" t="s">
        <v>503</v>
      </c>
      <c r="P12" s="4" t="s">
        <v>494</v>
      </c>
    </row>
    <row r="14" customHeight="1" spans="1:21">
      <c r="R14" t="s">
        <v>508</v>
      </c>
    </row>
    <row r="15" customHeight="1" spans="1:21">
      <c r="R15" t="s">
        <v>509</v>
      </c>
    </row>
    <row r="16" customHeight="1" spans="1:21">
      <c r="R16" s="2"/>
      <c r="S16" s="2" t="s">
        <v>506</v>
      </c>
      <c r="T16" s="2" t="s">
        <v>499</v>
      </c>
      <c r="U16" s="2" t="s">
        <v>494</v>
      </c>
    </row>
    <row r="17" customHeight="1" spans="18:21">
      <c r="R17" s="2" t="s">
        <v>493</v>
      </c>
      <c r="S17" s="2"/>
      <c r="T17" s="2"/>
      <c r="U17" s="2"/>
    </row>
    <row r="18" customHeight="1" spans="18:21">
      <c r="R18" s="2" t="s">
        <v>503</v>
      </c>
      <c r="S18" s="2"/>
      <c r="T18" s="2"/>
      <c r="U18" s="2"/>
    </row>
    <row r="19" customHeight="1" spans="18:21">
      <c r="R19" s="2" t="s">
        <v>510</v>
      </c>
      <c r="S19" s="2"/>
      <c r="T19" s="2"/>
      <c r="U19" s="2"/>
    </row>
    <row r="21" customHeight="1" spans="18:21">
      <c r="R21" t="s">
        <v>511</v>
      </c>
    </row>
    <row r="22" customHeight="1" spans="18:21">
      <c r="R22" s="2"/>
      <c r="S22" s="2" t="s">
        <v>506</v>
      </c>
      <c r="T22" s="2" t="s">
        <v>499</v>
      </c>
      <c r="U22" s="2" t="s">
        <v>494</v>
      </c>
    </row>
    <row r="23" customHeight="1" spans="18:21">
      <c r="R23" s="2" t="s">
        <v>493</v>
      </c>
      <c r="S23" s="2"/>
      <c r="T23" s="2"/>
      <c r="U23" s="2"/>
    </row>
    <row r="24" customHeight="1" spans="18:21">
      <c r="R24" s="2" t="s">
        <v>503</v>
      </c>
      <c r="S24" s="2"/>
      <c r="T24" s="2"/>
      <c r="U24" s="2"/>
    </row>
    <row r="25" customHeight="1" spans="18:21">
      <c r="R25" s="2" t="s">
        <v>510</v>
      </c>
      <c r="S25" s="2"/>
      <c r="T25" s="2"/>
      <c r="U25" s="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LibreOffice/25.2.3.2$Linux_X86_64 LibreOffice_project/520$Build-2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imsosvd</cp:lastModifiedBy>
  <dcterms:created xsi:type="dcterms:W3CDTF">2026-10-05T15:57:29Z</dcterms:created>
  <dcterms:modified xsi:type="dcterms:W3CDTF">2026-10-05T16:05:54Z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7309FDA8E5854AE6997B0C0C87101A76_12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